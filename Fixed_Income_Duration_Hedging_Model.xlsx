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tvik/Desktop/Fixed Income Project/"/>
    </mc:Choice>
  </mc:AlternateContent>
  <xr:revisionPtr revIDLastSave="0" documentId="8_{C0FC6CC9-861E-9A43-84C2-93DFA75ECCD5}" xr6:coauthVersionLast="47" xr6:coauthVersionMax="47" xr10:uidLastSave="{00000000-0000-0000-0000-000000000000}"/>
  <bookViews>
    <workbookView xWindow="47460" yWindow="2180" windowWidth="38640" windowHeight="23920" activeTab="3" xr2:uid="{E8993405-D00B-AF4E-9D33-401E7A8E74B6}"/>
  </bookViews>
  <sheets>
    <sheet name="Bond Valuation" sheetId="1" r:id="rId1"/>
    <sheet name="Duration Hedging Model" sheetId="2" r:id="rId2"/>
    <sheet name="Convexity Adj Hedging Model" sheetId="3" r:id="rId3"/>
    <sheet name="Duration vs Convexity Hedg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55" i="3"/>
  <c r="C78" i="3"/>
  <c r="D78" i="3" s="1"/>
  <c r="C77" i="3"/>
  <c r="D77" i="3" s="1"/>
  <c r="C76" i="3"/>
  <c r="D76" i="3" s="1"/>
  <c r="C75" i="3"/>
  <c r="D75" i="3" s="1"/>
  <c r="C74" i="3"/>
  <c r="D74" i="3" s="1"/>
  <c r="C73" i="3"/>
  <c r="D73" i="3" s="1"/>
  <c r="C72" i="3"/>
  <c r="D72" i="3" s="1"/>
  <c r="C71" i="3"/>
  <c r="D71" i="3" s="1"/>
  <c r="C70" i="3"/>
  <c r="D70" i="3" s="1"/>
  <c r="C69" i="3"/>
  <c r="D69" i="3" s="1"/>
  <c r="C68" i="3"/>
  <c r="D68" i="3" s="1"/>
  <c r="C67" i="3"/>
  <c r="D67" i="3" s="1"/>
  <c r="C66" i="3"/>
  <c r="D66" i="3" s="1"/>
  <c r="F10" i="3"/>
  <c r="C10" i="3"/>
  <c r="F8" i="3"/>
  <c r="C8" i="3"/>
  <c r="C78" i="2"/>
  <c r="C67" i="2"/>
  <c r="C68" i="2"/>
  <c r="C69" i="2"/>
  <c r="C70" i="2"/>
  <c r="C71" i="2"/>
  <c r="C72" i="2"/>
  <c r="C73" i="2"/>
  <c r="C74" i="2"/>
  <c r="C75" i="2"/>
  <c r="C76" i="2"/>
  <c r="C77" i="2"/>
  <c r="C66" i="2"/>
  <c r="D56" i="2"/>
  <c r="F8" i="2"/>
  <c r="F10" i="2"/>
  <c r="C10" i="2"/>
  <c r="C8" i="2"/>
  <c r="D17" i="1"/>
  <c r="E17" i="1" s="1"/>
  <c r="D18" i="1"/>
  <c r="E18" i="1" s="1"/>
  <c r="D19" i="1"/>
  <c r="E19" i="1" s="1"/>
  <c r="D20" i="1"/>
  <c r="E20" i="1" s="1"/>
  <c r="D16" i="1"/>
  <c r="E16" i="1" s="1"/>
  <c r="D31" i="1"/>
  <c r="E31" i="1" s="1"/>
  <c r="D28" i="1"/>
  <c r="D27" i="1"/>
  <c r="E27" i="1" s="1"/>
  <c r="C30" i="3" l="1"/>
  <c r="C22" i="3"/>
  <c r="C23" i="3"/>
  <c r="C31" i="3"/>
  <c r="C25" i="3"/>
  <c r="C24" i="3"/>
  <c r="C26" i="3"/>
  <c r="C27" i="3"/>
  <c r="C28" i="3"/>
  <c r="C29" i="3"/>
  <c r="C14" i="3"/>
  <c r="C16" i="3"/>
  <c r="C15" i="3"/>
  <c r="C17" i="3"/>
  <c r="C18" i="3"/>
  <c r="D29" i="3"/>
  <c r="D31" i="3"/>
  <c r="D28" i="3"/>
  <c r="D26" i="3"/>
  <c r="D27" i="3"/>
  <c r="D25" i="3"/>
  <c r="D24" i="3"/>
  <c r="D23" i="3"/>
  <c r="D30" i="3"/>
  <c r="D22" i="3"/>
  <c r="D16" i="3"/>
  <c r="D14" i="3"/>
  <c r="D17" i="3"/>
  <c r="D18" i="3"/>
  <c r="D15" i="3"/>
  <c r="D23" i="2"/>
  <c r="D24" i="2"/>
  <c r="D25" i="2"/>
  <c r="D26" i="2"/>
  <c r="D27" i="2"/>
  <c r="D28" i="2"/>
  <c r="D29" i="2"/>
  <c r="D30" i="2"/>
  <c r="D31" i="2"/>
  <c r="D22" i="2"/>
  <c r="C31" i="2"/>
  <c r="C23" i="2"/>
  <c r="C24" i="2"/>
  <c r="C25" i="2"/>
  <c r="C26" i="2"/>
  <c r="C27" i="2"/>
  <c r="C28" i="2"/>
  <c r="C29" i="2"/>
  <c r="C30" i="2"/>
  <c r="C22" i="2"/>
  <c r="C18" i="2"/>
  <c r="C16" i="2"/>
  <c r="C17" i="2"/>
  <c r="C14" i="2"/>
  <c r="C15" i="2"/>
  <c r="D15" i="2"/>
  <c r="E15" i="2" s="1"/>
  <c r="F15" i="2" s="1"/>
  <c r="D16" i="2"/>
  <c r="D17" i="2"/>
  <c r="D18" i="2"/>
  <c r="D14" i="2"/>
  <c r="E14" i="2" s="1"/>
  <c r="C19" i="1"/>
  <c r="F19" i="1" s="1"/>
  <c r="C18" i="1"/>
  <c r="F18" i="1" s="1"/>
  <c r="C17" i="1"/>
  <c r="F17" i="1" s="1"/>
  <c r="C16" i="1"/>
  <c r="F16" i="1" s="1"/>
  <c r="D30" i="1"/>
  <c r="E30" i="1" s="1"/>
  <c r="D29" i="1"/>
  <c r="E29" i="1" s="1"/>
  <c r="E28" i="1"/>
  <c r="C20" i="1"/>
  <c r="F20" i="1" s="1"/>
  <c r="C31" i="1"/>
  <c r="F31" i="1" s="1"/>
  <c r="C28" i="1"/>
  <c r="C29" i="1"/>
  <c r="C30" i="1"/>
  <c r="C27" i="1"/>
  <c r="F27" i="1" s="1"/>
  <c r="E17" i="2" l="1"/>
  <c r="F17" i="2" s="1"/>
  <c r="E27" i="3"/>
  <c r="E28" i="3"/>
  <c r="E29" i="3"/>
  <c r="E14" i="3"/>
  <c r="E31" i="3"/>
  <c r="E24" i="3"/>
  <c r="E26" i="3"/>
  <c r="E16" i="3"/>
  <c r="E15" i="3"/>
  <c r="E17" i="3"/>
  <c r="E18" i="3"/>
  <c r="E25" i="3"/>
  <c r="E30" i="3"/>
  <c r="E22" i="3"/>
  <c r="E23" i="3"/>
  <c r="E31" i="2"/>
  <c r="F31" i="2" s="1"/>
  <c r="E23" i="2"/>
  <c r="F23" i="2" s="1"/>
  <c r="E16" i="2"/>
  <c r="E18" i="2"/>
  <c r="F18" i="2" s="1"/>
  <c r="E24" i="2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22" i="2"/>
  <c r="F22" i="2" s="1"/>
  <c r="F14" i="2"/>
  <c r="F21" i="1"/>
  <c r="C38" i="1" s="1"/>
  <c r="F30" i="1"/>
  <c r="F29" i="1"/>
  <c r="F28" i="1"/>
  <c r="G14" i="3" l="1"/>
  <c r="F14" i="3"/>
  <c r="G28" i="3"/>
  <c r="F28" i="3"/>
  <c r="F31" i="3"/>
  <c r="G31" i="3"/>
  <c r="G27" i="3"/>
  <c r="F27" i="3"/>
  <c r="G29" i="3"/>
  <c r="F29" i="3"/>
  <c r="F24" i="3"/>
  <c r="G24" i="3"/>
  <c r="G26" i="3"/>
  <c r="F26" i="3"/>
  <c r="C35" i="3"/>
  <c r="F16" i="3"/>
  <c r="G16" i="3"/>
  <c r="F15" i="3"/>
  <c r="G15" i="3"/>
  <c r="F17" i="3"/>
  <c r="G17" i="3"/>
  <c r="G18" i="3"/>
  <c r="F18" i="3"/>
  <c r="F25" i="3"/>
  <c r="G25" i="3"/>
  <c r="F30" i="3"/>
  <c r="G30" i="3"/>
  <c r="F22" i="3"/>
  <c r="G22" i="3"/>
  <c r="C36" i="3"/>
  <c r="F23" i="3"/>
  <c r="G23" i="3"/>
  <c r="C35" i="2"/>
  <c r="F16" i="2"/>
  <c r="F24" i="2"/>
  <c r="C36" i="2"/>
  <c r="F32" i="1"/>
  <c r="C39" i="1" s="1"/>
  <c r="D39" i="1" s="1"/>
  <c r="E39" i="1" s="1"/>
  <c r="F35" i="3" l="1"/>
  <c r="D59" i="3"/>
  <c r="F36" i="3"/>
  <c r="D36" i="3"/>
  <c r="E36" i="3" s="1"/>
  <c r="D35" i="3"/>
  <c r="E35" i="3" s="1"/>
  <c r="D35" i="2"/>
  <c r="E35" i="2" s="1"/>
  <c r="D60" i="2"/>
  <c r="D36" i="2"/>
  <c r="E36" i="2" s="1"/>
  <c r="G74" i="3" l="1"/>
  <c r="G71" i="3"/>
  <c r="G70" i="3"/>
  <c r="G66" i="3"/>
  <c r="G78" i="3"/>
  <c r="G77" i="3"/>
  <c r="G76" i="3"/>
  <c r="G75" i="3"/>
  <c r="G73" i="3"/>
  <c r="G72" i="3"/>
  <c r="G69" i="3"/>
  <c r="G67" i="3"/>
  <c r="G68" i="3"/>
  <c r="D57" i="3"/>
  <c r="E74" i="3"/>
  <c r="F74" i="3" s="1"/>
  <c r="E71" i="3"/>
  <c r="F71" i="3" s="1"/>
  <c r="E70" i="3"/>
  <c r="F70" i="3" s="1"/>
  <c r="E78" i="3"/>
  <c r="F78" i="3" s="1"/>
  <c r="E77" i="3"/>
  <c r="F77" i="3" s="1"/>
  <c r="E76" i="3"/>
  <c r="F76" i="3" s="1"/>
  <c r="E75" i="3"/>
  <c r="F75" i="3" s="1"/>
  <c r="E73" i="3"/>
  <c r="F73" i="3" s="1"/>
  <c r="E72" i="3"/>
  <c r="F72" i="3" s="1"/>
  <c r="E69" i="3"/>
  <c r="F69" i="3" s="1"/>
  <c r="E68" i="3"/>
  <c r="F68" i="3" s="1"/>
  <c r="E67" i="3"/>
  <c r="F67" i="3" s="1"/>
  <c r="C49" i="3"/>
  <c r="F51" i="3" s="1"/>
  <c r="D56" i="3"/>
  <c r="E66" i="3"/>
  <c r="F66" i="3" s="1"/>
  <c r="C45" i="3"/>
  <c r="D57" i="2"/>
  <c r="C46" i="2"/>
  <c r="D68" i="2"/>
  <c r="F68" i="2" s="1"/>
  <c r="D71" i="2"/>
  <c r="F71" i="2" s="1"/>
  <c r="D69" i="2"/>
  <c r="F69" i="2" s="1"/>
  <c r="C50" i="2"/>
  <c r="D70" i="2"/>
  <c r="F70" i="2" s="1"/>
  <c r="D72" i="2"/>
  <c r="F72" i="2" s="1"/>
  <c r="D67" i="2"/>
  <c r="F67" i="2" s="1"/>
  <c r="D73" i="2"/>
  <c r="F73" i="2" s="1"/>
  <c r="D74" i="2"/>
  <c r="F74" i="2" s="1"/>
  <c r="D75" i="2"/>
  <c r="F75" i="2" s="1"/>
  <c r="D76" i="2"/>
  <c r="F76" i="2" s="1"/>
  <c r="D66" i="2"/>
  <c r="F66" i="2" s="1"/>
  <c r="D77" i="2"/>
  <c r="F77" i="2" s="1"/>
  <c r="D78" i="2"/>
  <c r="F78" i="2" s="1"/>
  <c r="D58" i="2"/>
  <c r="J74" i="3" l="1"/>
  <c r="J71" i="3"/>
  <c r="J70" i="3"/>
  <c r="J78" i="3"/>
  <c r="J77" i="3"/>
  <c r="J76" i="3"/>
  <c r="J75" i="3"/>
  <c r="J73" i="3"/>
  <c r="J72" i="3"/>
  <c r="J69" i="3"/>
  <c r="J68" i="3"/>
  <c r="J67" i="3"/>
  <c r="J66" i="3"/>
  <c r="D58" i="3"/>
  <c r="F52" i="2"/>
  <c r="D59" i="2"/>
  <c r="H74" i="3" l="1"/>
  <c r="I74" i="3" s="1"/>
  <c r="H71" i="3"/>
  <c r="I71" i="3" s="1"/>
  <c r="H70" i="3"/>
  <c r="I70" i="3" s="1"/>
  <c r="H66" i="3"/>
  <c r="I66" i="3" s="1"/>
  <c r="H78" i="3"/>
  <c r="I78" i="3" s="1"/>
  <c r="H77" i="3"/>
  <c r="I77" i="3" s="1"/>
  <c r="H76" i="3"/>
  <c r="I76" i="3" s="1"/>
  <c r="H75" i="3"/>
  <c r="I75" i="3" s="1"/>
  <c r="H73" i="3"/>
  <c r="I73" i="3" s="1"/>
  <c r="H72" i="3"/>
  <c r="I72" i="3" s="1"/>
  <c r="H69" i="3"/>
  <c r="I69" i="3" s="1"/>
  <c r="H67" i="3"/>
  <c r="I67" i="3" s="1"/>
  <c r="H68" i="3"/>
  <c r="I68" i="3" s="1"/>
  <c r="D60" i="3"/>
  <c r="D61" i="2"/>
  <c r="E66" i="2"/>
  <c r="G66" i="2" s="1"/>
  <c r="E78" i="2"/>
  <c r="G78" i="2" s="1"/>
  <c r="E77" i="2"/>
  <c r="G77" i="2" s="1"/>
  <c r="E76" i="2"/>
  <c r="G76" i="2" s="1"/>
  <c r="E75" i="2"/>
  <c r="G75" i="2" s="1"/>
  <c r="E74" i="2"/>
  <c r="G74" i="2" s="1"/>
  <c r="E73" i="2"/>
  <c r="G73" i="2" s="1"/>
  <c r="E72" i="2"/>
  <c r="G72" i="2" s="1"/>
  <c r="E71" i="2"/>
  <c r="G71" i="2" s="1"/>
  <c r="E70" i="2"/>
  <c r="G70" i="2" s="1"/>
  <c r="E69" i="2"/>
  <c r="G69" i="2" s="1"/>
  <c r="E68" i="2"/>
  <c r="G68" i="2" s="1"/>
  <c r="E67" i="2"/>
  <c r="G67" i="2" s="1"/>
</calcChain>
</file>

<file path=xl/sharedStrings.xml><?xml version="1.0" encoding="utf-8"?>
<sst xmlns="http://schemas.openxmlformats.org/spreadsheetml/2006/main" count="182" uniqueCount="96">
  <si>
    <t>Bond A</t>
  </si>
  <si>
    <t>Value</t>
  </si>
  <si>
    <t>Face Value</t>
  </si>
  <si>
    <t>Coupon Rate</t>
  </si>
  <si>
    <t>Maturity</t>
  </si>
  <si>
    <t>Maturity (Years)</t>
  </si>
  <si>
    <t>Payments/Year</t>
  </si>
  <si>
    <t>Coupon</t>
  </si>
  <si>
    <t>Yield Curve</t>
  </si>
  <si>
    <t>Years</t>
  </si>
  <si>
    <t>Yield</t>
  </si>
  <si>
    <t>3M</t>
  </si>
  <si>
    <t>6M</t>
  </si>
  <si>
    <t>1Y</t>
  </si>
  <si>
    <t>2Y</t>
  </si>
  <si>
    <t>5Y</t>
  </si>
  <si>
    <t>10Y</t>
  </si>
  <si>
    <t>30Y</t>
  </si>
  <si>
    <t>Cash Flow</t>
  </si>
  <si>
    <t>Dicount Factor</t>
  </si>
  <si>
    <t>Present Value</t>
  </si>
  <si>
    <t>Bond Price</t>
  </si>
  <si>
    <t>Method</t>
  </si>
  <si>
    <t>Bond Inputs</t>
  </si>
  <si>
    <t>Bond Pricing - Flat Yield Method</t>
  </si>
  <si>
    <t>Bond Pricing - Term Structure Method</t>
  </si>
  <si>
    <t>Valaution Comparison</t>
  </si>
  <si>
    <t>Price</t>
  </si>
  <si>
    <t>Difference</t>
  </si>
  <si>
    <t>% Difference</t>
  </si>
  <si>
    <t>Flat Yield</t>
  </si>
  <si>
    <t>Note : Yield interpolated for missing maturities using linear interpolation</t>
  </si>
  <si>
    <t>Duration Hedging Model</t>
  </si>
  <si>
    <t>Bond A Inputs</t>
  </si>
  <si>
    <t>Payments / Year</t>
  </si>
  <si>
    <t>t x PV</t>
  </si>
  <si>
    <t>Bond B Inputs</t>
  </si>
  <si>
    <t>Macaulay Duration</t>
  </si>
  <si>
    <t>Modified Duration</t>
  </si>
  <si>
    <t>Bond B</t>
  </si>
  <si>
    <t>Bond</t>
  </si>
  <si>
    <t>A</t>
  </si>
  <si>
    <t>B</t>
  </si>
  <si>
    <t>Lets say we hold $1,000,000 of Bond A</t>
  </si>
  <si>
    <t>Market value of Bond A Position</t>
  </si>
  <si>
    <t>Starting Position</t>
  </si>
  <si>
    <t>Dollar Duration</t>
  </si>
  <si>
    <t>Dollar Durtion = Market Value ｘ Modified Duration</t>
  </si>
  <si>
    <t>Dollar Duration of Bond A</t>
  </si>
  <si>
    <t>We want the total dollar duration to be zero</t>
  </si>
  <si>
    <t>Negative means short Bond B</t>
  </si>
  <si>
    <t>Since Bond B is priced at 978.39, number of Bond B units is</t>
  </si>
  <si>
    <t>Bond B Price</t>
  </si>
  <si>
    <t>Hedge Summary Table</t>
  </si>
  <si>
    <t>Long Position in Bond A</t>
  </si>
  <si>
    <t>Modified Duration of Bond A</t>
  </si>
  <si>
    <t>Modified Duration of Bond B</t>
  </si>
  <si>
    <t>Required Short Position in Bond B</t>
  </si>
  <si>
    <t>Units of Bond B to Short</t>
  </si>
  <si>
    <t>Interest Rate Shock Table</t>
  </si>
  <si>
    <t>Scenario</t>
  </si>
  <si>
    <t>Yield Change</t>
  </si>
  <si>
    <t>Bond A P&amp;L</t>
  </si>
  <si>
    <t>Bond B P&amp;L</t>
  </si>
  <si>
    <t>For Scenario -3.00% : Bond A</t>
  </si>
  <si>
    <t>%△P = -4.39 ｘ -0.03 = 0.1317</t>
  </si>
  <si>
    <t>P&amp;L = 0.1317 ｘ 1,000,000 = 131,700</t>
  </si>
  <si>
    <t>The duration hedge significantly reduces interest rate risk across multiple scenarios</t>
  </si>
  <si>
    <t>However, small residual differences at lager yield changes arise due to convexity effects and the limitations of linear duration approximations</t>
  </si>
  <si>
    <t>Dollar duration tells you how many dollars your position changes for a 1.00% (0.01) change in yield</t>
  </si>
  <si>
    <t>Unhedged P&amp;L</t>
  </si>
  <si>
    <t>Hedged P&amp;L</t>
  </si>
  <si>
    <t>t (t + 1) ｘ PV</t>
  </si>
  <si>
    <t>t ｘ PV</t>
  </si>
  <si>
    <t xml:space="preserve"> </t>
  </si>
  <si>
    <t>Bonds</t>
  </si>
  <si>
    <t>Maculay Duration</t>
  </si>
  <si>
    <t>Convexity</t>
  </si>
  <si>
    <t>Scenario Table</t>
  </si>
  <si>
    <t>△y</t>
  </si>
  <si>
    <t>%△P(A)</t>
  </si>
  <si>
    <t>P&amp;L (A)</t>
  </si>
  <si>
    <t>%△P(B)</t>
  </si>
  <si>
    <t>P&amp;L (B)</t>
  </si>
  <si>
    <t>Convexity Adjustment Hedging Model</t>
  </si>
  <si>
    <t>The duration hedge significantly reduces first-order interest rate risk, while convexity-adjusted results reveal residual nonlinear exposure under larger yield shocks</t>
  </si>
  <si>
    <t>Duration vs Convexity Hedging Analysis</t>
  </si>
  <si>
    <t>Discount Factor</t>
  </si>
  <si>
    <r>
      <t>MV</t>
    </r>
    <r>
      <rPr>
        <vertAlign val="subscript"/>
        <sz val="12"/>
        <color theme="1"/>
        <rFont val="Times New Roman"/>
        <family val="1"/>
      </rPr>
      <t>B</t>
    </r>
  </si>
  <si>
    <t>Duration</t>
  </si>
  <si>
    <t xml:space="preserve">Convexity </t>
  </si>
  <si>
    <t>Unhedged</t>
  </si>
  <si>
    <t>P&amp;L</t>
  </si>
  <si>
    <t>Change</t>
  </si>
  <si>
    <r>
      <t>△y</t>
    </r>
    <r>
      <rPr>
        <vertAlign val="superscript"/>
        <sz val="12"/>
        <color theme="1"/>
        <rFont val="Times New Roman"/>
        <family val="1"/>
      </rPr>
      <t>2</t>
    </r>
  </si>
  <si>
    <t>Bond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</si>
</sst>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0.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6"/>
      <color theme="4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3" fillId="2" borderId="2" xfId="2" applyNumberFormat="1" applyFont="1" applyFill="1" applyBorder="1" applyAlignment="1">
      <alignment horizontal="center"/>
    </xf>
    <xf numFmtId="164" fontId="3" fillId="2" borderId="2" xfId="1" applyNumberFormat="1" applyFont="1" applyFill="1" applyBorder="1"/>
    <xf numFmtId="43" fontId="3" fillId="2" borderId="2" xfId="0" applyNumberFormat="1" applyFont="1" applyFill="1" applyBorder="1"/>
    <xf numFmtId="43" fontId="3" fillId="2" borderId="4" xfId="0" applyNumberFormat="1" applyFont="1" applyFill="1" applyBorder="1"/>
    <xf numFmtId="43" fontId="3" fillId="2" borderId="0" xfId="1" applyFont="1" applyFill="1"/>
    <xf numFmtId="0" fontId="3" fillId="2" borderId="2" xfId="0" applyFont="1" applyFill="1" applyBorder="1" applyAlignment="1">
      <alignment horizontal="center"/>
    </xf>
    <xf numFmtId="43" fontId="3" fillId="2" borderId="2" xfId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0" fontId="3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right"/>
    </xf>
    <xf numFmtId="0" fontId="4" fillId="2" borderId="0" xfId="0" applyFont="1" applyFill="1"/>
    <xf numFmtId="10" fontId="3" fillId="2" borderId="2" xfId="0" applyNumberFormat="1" applyFont="1" applyFill="1" applyBorder="1"/>
    <xf numFmtId="10" fontId="3" fillId="2" borderId="2" xfId="2" applyNumberFormat="1" applyFont="1" applyFill="1" applyBorder="1"/>
    <xf numFmtId="43" fontId="3" fillId="2" borderId="0" xfId="0" applyNumberFormat="1" applyFont="1" applyFill="1"/>
    <xf numFmtId="10" fontId="3" fillId="2" borderId="0" xfId="2" applyNumberFormat="1" applyFont="1" applyFill="1"/>
    <xf numFmtId="9" fontId="3" fillId="2" borderId="0" xfId="0" applyNumberFormat="1" applyFont="1" applyFill="1"/>
    <xf numFmtId="10" fontId="3" fillId="2" borderId="0" xfId="0" applyNumberFormat="1" applyFont="1" applyFill="1"/>
    <xf numFmtId="10" fontId="3" fillId="2" borderId="0" xfId="2" applyNumberFormat="1" applyFont="1" applyFill="1" applyAlignment="1">
      <alignment horizontal="left"/>
    </xf>
    <xf numFmtId="164" fontId="3" fillId="2" borderId="0" xfId="1" applyNumberFormat="1" applyFont="1" applyFill="1"/>
    <xf numFmtId="165" fontId="3" fillId="2" borderId="0" xfId="1" applyNumberFormat="1" applyFont="1" applyFill="1"/>
    <xf numFmtId="0" fontId="3" fillId="2" borderId="2" xfId="0" applyFont="1" applyFill="1" applyBorder="1"/>
    <xf numFmtId="0" fontId="3" fillId="2" borderId="6" xfId="0" applyFont="1" applyFill="1" applyBorder="1" applyAlignment="1">
      <alignment horizontal="center"/>
    </xf>
    <xf numFmtId="43" fontId="3" fillId="2" borderId="4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 Rate Sensitivity</a:t>
            </a:r>
            <a:r>
              <a:rPr lang="en-US" baseline="0"/>
              <a:t> : Hedged vs Unhedged Portfolio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'Duration Hedging Model'!$F$65</c:f>
              <c:strCache>
                <c:ptCount val="1"/>
                <c:pt idx="0">
                  <c:v>Unhedged P&amp;L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'Duration Hedging Model'!$B$66:$B$78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'Duration Hedging Model'!$F$66:$F$78</c:f>
              <c:numCache>
                <c:formatCode>_(* #,##0.00_);_(* \(#,##0.00\);_(* "-"??_);_(@_)</c:formatCode>
                <c:ptCount val="13"/>
                <c:pt idx="0">
                  <c:v>131699.99999999997</c:v>
                </c:pt>
                <c:pt idx="1">
                  <c:v>109750</c:v>
                </c:pt>
                <c:pt idx="2">
                  <c:v>87799.999999999985</c:v>
                </c:pt>
                <c:pt idx="3">
                  <c:v>65849.999999999985</c:v>
                </c:pt>
                <c:pt idx="4">
                  <c:v>43899.999999999993</c:v>
                </c:pt>
                <c:pt idx="5">
                  <c:v>21949.999999999996</c:v>
                </c:pt>
                <c:pt idx="6">
                  <c:v>0</c:v>
                </c:pt>
                <c:pt idx="7">
                  <c:v>-21949.999999999996</c:v>
                </c:pt>
                <c:pt idx="8">
                  <c:v>-43899.999999999993</c:v>
                </c:pt>
                <c:pt idx="9">
                  <c:v>-65849.999999999985</c:v>
                </c:pt>
                <c:pt idx="10">
                  <c:v>-87799.999999999985</c:v>
                </c:pt>
                <c:pt idx="11">
                  <c:v>-109750</c:v>
                </c:pt>
                <c:pt idx="12">
                  <c:v>-131699.99999999997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A-BC48-ABC7-859F0AB40FD2}"/>
            </c:ext>
          </c:extLst>
        </c:ser>
        <c:ser>
          <c:idx val="2"/>
          <c:order val="1"/>
          <c:tx>
            <c:strRef>
              <c:f>'Duration Hedging Model'!$G$65</c:f>
              <c:strCache>
                <c:ptCount val="1"/>
                <c:pt idx="0">
                  <c:v>Hedged P&amp;L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'Duration Hedging Model'!$B$66:$B$78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'Duration Hedging Model'!$G$66:$G$78</c:f>
              <c:numCache>
                <c:formatCode>_(* #,##0.00_);_(* \(#,##0.00\);_(* "-"??_);_(@_)</c:formatCode>
                <c:ptCount val="13"/>
                <c:pt idx="0">
                  <c:v>2.0999999978812411E-2</c:v>
                </c:pt>
                <c:pt idx="1">
                  <c:v>1.7499999987194315E-2</c:v>
                </c:pt>
                <c:pt idx="2">
                  <c:v>1.3999999981024303E-2</c:v>
                </c:pt>
                <c:pt idx="3">
                  <c:v>1.0499999989406206E-2</c:v>
                </c:pt>
                <c:pt idx="4">
                  <c:v>6.9999999905121513E-3</c:v>
                </c:pt>
                <c:pt idx="5">
                  <c:v>3.4999999952560756E-3</c:v>
                </c:pt>
                <c:pt idx="6">
                  <c:v>0</c:v>
                </c:pt>
                <c:pt idx="7">
                  <c:v>-3.4999999952560756E-3</c:v>
                </c:pt>
                <c:pt idx="8">
                  <c:v>-6.9999999905121513E-3</c:v>
                </c:pt>
                <c:pt idx="9">
                  <c:v>-1.0499999989406206E-2</c:v>
                </c:pt>
                <c:pt idx="10">
                  <c:v>-1.3999999981024303E-2</c:v>
                </c:pt>
                <c:pt idx="11">
                  <c:v>-1.7499999987194315E-2</c:v>
                </c:pt>
                <c:pt idx="12">
                  <c:v>-2.0999999978812411E-2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A-BC48-ABC7-859F0AB40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982079"/>
        <c:axId val="1367252415"/>
      </c:lineChart>
      <c:catAx>
        <c:axId val="136598207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52415"/>
        <c:crosses val="autoZero"/>
        <c:auto val="1"/>
        <c:lblAlgn val="ctr"/>
        <c:lblOffset val="100"/>
        <c:noMultiLvlLbl val="0"/>
      </c:catAx>
      <c:valAx>
        <c:axId val="13672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8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</a:t>
            </a:r>
            <a:r>
              <a:rPr lang="en-US" baseline="0"/>
              <a:t> Rate Sensitivity (Convexity Adjusted) : Hedged vs Unhedged Portfolio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'Convexity Adj Hedging Model'!$I$65</c:f>
              <c:strCache>
                <c:ptCount val="1"/>
                <c:pt idx="0">
                  <c:v>Hedged P&amp;L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'Convexity Adj Hedging Model'!$C$66:$C$78</c:f>
              <c:numCache>
                <c:formatCode>_(* #,##0.0000_);_(* \(#,##0.0000\);_(* "-"??_);_(@_)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xVal>
          <c:yVal>
            <c:numRef>
              <c:f>'Convexity Adj Hedging Model'!$I$66:$I$78</c:f>
              <c:numCache>
                <c:formatCode>_(* #,##0.00_);_(* \(#,##0.00\);_(* "-"??_);_(@_)</c:formatCode>
                <c:ptCount val="13"/>
                <c:pt idx="0">
                  <c:v>-8560.2879969604837</c:v>
                </c:pt>
                <c:pt idx="1">
                  <c:v>-5944.6415256670007</c:v>
                </c:pt>
                <c:pt idx="2">
                  <c:v>-3804.5677764268912</c:v>
                </c:pt>
                <c:pt idx="3">
                  <c:v>-2140.0667492401262</c:v>
                </c:pt>
                <c:pt idx="4">
                  <c:v>-951.13844410672755</c:v>
                </c:pt>
                <c:pt idx="5">
                  <c:v>-237.78286102668426</c:v>
                </c:pt>
                <c:pt idx="6">
                  <c:v>0</c:v>
                </c:pt>
                <c:pt idx="7">
                  <c:v>-237.78986102667477</c:v>
                </c:pt>
                <c:pt idx="8">
                  <c:v>-951.15244410670857</c:v>
                </c:pt>
                <c:pt idx="9">
                  <c:v>-2140.0877492401123</c:v>
                </c:pt>
                <c:pt idx="10">
                  <c:v>-3804.5957764268533</c:v>
                </c:pt>
                <c:pt idx="11">
                  <c:v>-5944.6765256669751</c:v>
                </c:pt>
                <c:pt idx="12">
                  <c:v>-8560.3299969604413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06-844D-BFA7-5DF80FDD8D9E}"/>
            </c:ext>
          </c:extLst>
        </c:ser>
        <c:ser>
          <c:idx val="1"/>
          <c:order val="1"/>
          <c:tx>
            <c:strRef>
              <c:f>'Convexity Adj Hedging Model'!$J$65</c:f>
              <c:strCache>
                <c:ptCount val="1"/>
                <c:pt idx="0">
                  <c:v>Unhedged P&amp;L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'Convexity Adj Hedging Model'!$C$66:$C$78</c:f>
              <c:numCache>
                <c:formatCode>_(* #,##0.0000_);_(* \(#,##0.0000\);_(* "-"??_);_(@_)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xVal>
          <c:yVal>
            <c:numRef>
              <c:f>'Convexity Adj Hedging Model'!$J$66:$J$78</c:f>
              <c:numCache>
                <c:formatCode>_(* #,##0.00_);_(* \(#,##0.00\);_(* "-"??_);_(@_)</c:formatCode>
                <c:ptCount val="13"/>
                <c:pt idx="0">
                  <c:v>142744.1111086107</c:v>
                </c:pt>
                <c:pt idx="1">
                  <c:v>117419.52160320189</c:v>
                </c:pt>
                <c:pt idx="2">
                  <c:v>92708.493826049205</c:v>
                </c:pt>
                <c:pt idx="3">
                  <c:v>68611.02777715266</c:v>
                </c:pt>
                <c:pt idx="4">
                  <c:v>45127.123456512301</c:v>
                </c:pt>
                <c:pt idx="5">
                  <c:v>22256.780864128072</c:v>
                </c:pt>
                <c:pt idx="6">
                  <c:v>0</c:v>
                </c:pt>
                <c:pt idx="7">
                  <c:v>-21643.219135871925</c:v>
                </c:pt>
                <c:pt idx="8">
                  <c:v>-42672.876543487691</c:v>
                </c:pt>
                <c:pt idx="9">
                  <c:v>-63088.972222847318</c:v>
                </c:pt>
                <c:pt idx="10">
                  <c:v>-82891.50617395078</c:v>
                </c:pt>
                <c:pt idx="11">
                  <c:v>-102080.47839679811</c:v>
                </c:pt>
                <c:pt idx="12">
                  <c:v>-120655.88889138926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06-844D-BFA7-5DF80FDD8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853631"/>
        <c:axId val="1425425727"/>
      </c:scatterChart>
      <c:valAx>
        <c:axId val="1424853631"/>
        <c:scaling>
          <c:orientation val="minMax"/>
          <c:max val="0.03"/>
          <c:min val="-0.03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25727"/>
        <c:crosses val="autoZero"/>
        <c:crossBetween val="midCat"/>
      </c:valAx>
      <c:valAx>
        <c:axId val="1425425727"/>
        <c:scaling>
          <c:orientation val="minMax"/>
          <c:max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5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</a:t>
            </a:r>
            <a:r>
              <a:rPr lang="en-US" baseline="0"/>
              <a:t> Rate Sensitivity: Duration vs Convexity Hedging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'Duration vs Convexity Hedging'!$C$5</c:f>
              <c:strCache>
                <c:ptCount val="1"/>
                <c:pt idx="0">
                  <c:v>P&amp;L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'Duration vs Convexity Hedging'!$B$6:$B$18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'Duration vs Convexity Hedging'!$C$6:$C$18</c:f>
              <c:numCache>
                <c:formatCode>_(* #,##0.00_);_(* \(#,##0.00\);_(* "-"??_);_(@_)</c:formatCode>
                <c:ptCount val="13"/>
                <c:pt idx="0">
                  <c:v>142744.1111086107</c:v>
                </c:pt>
                <c:pt idx="1">
                  <c:v>117419.52160320189</c:v>
                </c:pt>
                <c:pt idx="2">
                  <c:v>92708.493826049205</c:v>
                </c:pt>
                <c:pt idx="3">
                  <c:v>68611.02777715266</c:v>
                </c:pt>
                <c:pt idx="4">
                  <c:v>45127.123456512301</c:v>
                </c:pt>
                <c:pt idx="5">
                  <c:v>22256.780864128072</c:v>
                </c:pt>
                <c:pt idx="6">
                  <c:v>0</c:v>
                </c:pt>
                <c:pt idx="7">
                  <c:v>-21643.219135871925</c:v>
                </c:pt>
                <c:pt idx="8">
                  <c:v>-42672.876543487691</c:v>
                </c:pt>
                <c:pt idx="9">
                  <c:v>-63088.972222847318</c:v>
                </c:pt>
                <c:pt idx="10">
                  <c:v>-82891.50617395078</c:v>
                </c:pt>
                <c:pt idx="11">
                  <c:v>-102080.47839679811</c:v>
                </c:pt>
                <c:pt idx="12">
                  <c:v>-120655.88889138926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5-644E-9E3A-8FEFF19FC182}"/>
            </c:ext>
          </c:extLst>
        </c:ser>
        <c:ser>
          <c:idx val="1"/>
          <c:order val="1"/>
          <c:tx>
            <c:strRef>
              <c:f>'Duration vs Convexity Hedging'!$D$5</c:f>
              <c:strCache>
                <c:ptCount val="1"/>
                <c:pt idx="0">
                  <c:v>Hedged P&amp;L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'Duration vs Convexity Hedging'!$B$6:$B$18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'Duration vs Convexity Hedging'!$D$6:$D$18</c:f>
              <c:numCache>
                <c:formatCode>_(* #,##0.00_);_(* \(#,##0.00\);_(* "-"??_);_(@_)</c:formatCode>
                <c:ptCount val="13"/>
                <c:pt idx="0">
                  <c:v>2.0999999978812411E-2</c:v>
                </c:pt>
                <c:pt idx="1">
                  <c:v>1.7499999987194315E-2</c:v>
                </c:pt>
                <c:pt idx="2">
                  <c:v>1.3999999981024303E-2</c:v>
                </c:pt>
                <c:pt idx="3">
                  <c:v>1.0499999989406206E-2</c:v>
                </c:pt>
                <c:pt idx="4">
                  <c:v>6.9999999905121513E-3</c:v>
                </c:pt>
                <c:pt idx="5">
                  <c:v>3.4999999952560756E-3</c:v>
                </c:pt>
                <c:pt idx="6">
                  <c:v>0</c:v>
                </c:pt>
                <c:pt idx="7">
                  <c:v>-3.4999999952560756E-3</c:v>
                </c:pt>
                <c:pt idx="8">
                  <c:v>-6.9999999905121513E-3</c:v>
                </c:pt>
                <c:pt idx="9">
                  <c:v>-1.0499999989406206E-2</c:v>
                </c:pt>
                <c:pt idx="10">
                  <c:v>-1.3999999981024303E-2</c:v>
                </c:pt>
                <c:pt idx="11">
                  <c:v>-1.7499999987194315E-2</c:v>
                </c:pt>
                <c:pt idx="12">
                  <c:v>-2.0999999978812411E-2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5-644E-9E3A-8FEFF19FC182}"/>
            </c:ext>
          </c:extLst>
        </c:ser>
        <c:ser>
          <c:idx val="2"/>
          <c:order val="2"/>
          <c:tx>
            <c:strRef>
              <c:f>'Duration vs Convexity Hedging'!$E$5</c:f>
              <c:strCache>
                <c:ptCount val="1"/>
                <c:pt idx="0">
                  <c:v>Hedged P&amp;L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'Duration vs Convexity Hedging'!$B$6:$B$18</c:f>
              <c:numCache>
                <c:formatCode>0.00%</c:formatCode>
                <c:ptCount val="13"/>
                <c:pt idx="0">
                  <c:v>-0.03</c:v>
                </c:pt>
                <c:pt idx="1">
                  <c:v>-2.5000000000000001E-2</c:v>
                </c:pt>
                <c:pt idx="2">
                  <c:v>-0.02</c:v>
                </c:pt>
                <c:pt idx="3">
                  <c:v>-1.4999999999999999E-2</c:v>
                </c:pt>
                <c:pt idx="4">
                  <c:v>-0.01</c:v>
                </c:pt>
                <c:pt idx="5">
                  <c:v>-5.0000000000000001E-3</c:v>
                </c:pt>
                <c:pt idx="6">
                  <c:v>0</c:v>
                </c:pt>
                <c:pt idx="7">
                  <c:v>5.0000000000000001E-3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0.02</c:v>
                </c:pt>
                <c:pt idx="11">
                  <c:v>2.5000000000000001E-2</c:v>
                </c:pt>
                <c:pt idx="12">
                  <c:v>0.03</c:v>
                </c:pt>
              </c:numCache>
            </c:numRef>
          </c:cat>
          <c:val>
            <c:numRef>
              <c:f>'Duration vs Convexity Hedging'!$E$6:$E$18</c:f>
              <c:numCache>
                <c:formatCode>_(* #,##0.00_);_(* \(#,##0.00\);_(* "-"??_);_(@_)</c:formatCode>
                <c:ptCount val="13"/>
                <c:pt idx="0">
                  <c:v>-8560.2879969604837</c:v>
                </c:pt>
                <c:pt idx="1">
                  <c:v>-5944.6415256670007</c:v>
                </c:pt>
                <c:pt idx="2">
                  <c:v>-3804.5677764268912</c:v>
                </c:pt>
                <c:pt idx="3">
                  <c:v>-2140.0667492401262</c:v>
                </c:pt>
                <c:pt idx="4">
                  <c:v>-951.13844410672755</c:v>
                </c:pt>
                <c:pt idx="5">
                  <c:v>-237.78286102668426</c:v>
                </c:pt>
                <c:pt idx="6">
                  <c:v>0</c:v>
                </c:pt>
                <c:pt idx="7">
                  <c:v>-237.78986102667477</c:v>
                </c:pt>
                <c:pt idx="8">
                  <c:v>-951.15244410670857</c:v>
                </c:pt>
                <c:pt idx="9">
                  <c:v>-2140.0877492401123</c:v>
                </c:pt>
                <c:pt idx="10">
                  <c:v>-3804.5957764268533</c:v>
                </c:pt>
                <c:pt idx="11">
                  <c:v>-5944.6765256669751</c:v>
                </c:pt>
                <c:pt idx="12">
                  <c:v>-8560.3299969604413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E5-644E-9E3A-8FEFF19FC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053247"/>
        <c:axId val="1440050111"/>
      </c:lineChart>
      <c:catAx>
        <c:axId val="1440053247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50111"/>
        <c:crosses val="autoZero"/>
        <c:auto val="1"/>
        <c:lblAlgn val="ctr"/>
        <c:lblOffset val="100"/>
        <c:noMultiLvlLbl val="0"/>
      </c:catAx>
      <c:valAx>
        <c:axId val="1440050111"/>
        <c:scaling>
          <c:orientation val="minMax"/>
          <c:max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796000</xdr:colOff>
      <xdr:row>48</xdr:row>
      <xdr:rowOff>6719</xdr:rowOff>
    </xdr:from>
    <xdr:ext cx="2006063" cy="201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60CA4E3-9448-C426-89C8-52EF06ED49BC}"/>
                </a:ext>
              </a:extLst>
            </xdr:cNvPr>
            <xdr:cNvSpPr txBox="1"/>
          </xdr:nvSpPr>
          <xdr:spPr>
            <a:xfrm>
              <a:off x="796000" y="9535079"/>
              <a:ext cx="2006063" cy="201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)+ 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)=0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60CA4E3-9448-C426-89C8-52EF06ED49BC}"/>
                </a:ext>
              </a:extLst>
            </xdr:cNvPr>
            <xdr:cNvSpPr txBox="1"/>
          </xdr:nvSpPr>
          <xdr:spPr>
            <a:xfrm>
              <a:off x="796000" y="9535079"/>
              <a:ext cx="2006063" cy="201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(𝑀𝑉〗_𝐴 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𝐷_𝐴)+ </a:t>
              </a:r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(𝑀𝑉〗_𝐵 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𝐷_𝐵)=0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28013</xdr:colOff>
      <xdr:row>81</xdr:row>
      <xdr:rowOff>35553</xdr:rowOff>
    </xdr:from>
    <xdr:ext cx="1395638" cy="173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58D327A-1AA8-89CE-1E85-CC4349EDFC8B}"/>
                </a:ext>
              </a:extLst>
            </xdr:cNvPr>
            <xdr:cNvSpPr txBox="1"/>
          </xdr:nvSpPr>
          <xdr:spPr>
            <a:xfrm>
              <a:off x="857746" y="16164553"/>
              <a:ext cx="139563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△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𝑚𝑜𝑑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△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58D327A-1AA8-89CE-1E85-CC4349EDFC8B}"/>
                </a:ext>
              </a:extLst>
            </xdr:cNvPr>
            <xdr:cNvSpPr txBox="1"/>
          </xdr:nvSpPr>
          <xdr:spPr>
            <a:xfrm>
              <a:off x="857746" y="16164553"/>
              <a:ext cx="139563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%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△𝑃=−𝐷_𝑚𝑜𝑑  × △𝑦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16387</xdr:colOff>
      <xdr:row>82</xdr:row>
      <xdr:rowOff>32774</xdr:rowOff>
    </xdr:from>
    <xdr:ext cx="1889107" cy="173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E5986DC-2725-C216-4533-E597AEECA749}"/>
                </a:ext>
              </a:extLst>
            </xdr:cNvPr>
            <xdr:cNvSpPr txBox="1"/>
          </xdr:nvSpPr>
          <xdr:spPr>
            <a:xfrm>
              <a:off x="846120" y="16364974"/>
              <a:ext cx="188910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&amp;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=%△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𝑀𝑎𝑟𝑘𝑒𝑡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𝑉𝑎𝑙𝑢𝑒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E5986DC-2725-C216-4533-E597AEECA749}"/>
                </a:ext>
              </a:extLst>
            </xdr:cNvPr>
            <xdr:cNvSpPr txBox="1"/>
          </xdr:nvSpPr>
          <xdr:spPr>
            <a:xfrm>
              <a:off x="846120" y="16364974"/>
              <a:ext cx="188910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𝑃&amp;𝐿=%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△𝑃 × 𝑀𝑎𝑟𝑘𝑒𝑡 𝑉𝑎𝑙𝑢𝑒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79059</xdr:colOff>
      <xdr:row>64</xdr:row>
      <xdr:rowOff>51847</xdr:rowOff>
    </xdr:from>
    <xdr:to>
      <xdr:col>12</xdr:col>
      <xdr:colOff>827112</xdr:colOff>
      <xdr:row>77</xdr:row>
      <xdr:rowOff>104528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BACE81-8D62-C3D1-DBD7-9F821FC50CD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65852</xdr:colOff>
      <xdr:row>39</xdr:row>
      <xdr:rowOff>122296</xdr:rowOff>
    </xdr:from>
    <xdr:to>
      <xdr:col>4</xdr:col>
      <xdr:colOff>1185762</xdr:colOff>
      <xdr:row>39</xdr:row>
      <xdr:rowOff>122296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E90ED9C-072F-194D-BC05-0D0A28A25E50}"/>
            </a:ext>
          </a:extLst>
        </xdr:cNvPr>
        <xdr:cNvCxnSpPr/>
      </xdr:nvCxnSpPr>
      <xdr:spPr>
        <a:xfrm>
          <a:off x="4393259" y="8240889"/>
          <a:ext cx="111991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78763</xdr:colOff>
      <xdr:row>80</xdr:row>
      <xdr:rowOff>14680</xdr:rowOff>
    </xdr:from>
    <xdr:ext cx="3365472" cy="1771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8CBBE9E-0C2B-957F-AB57-CC3C9BD1ECEE}"/>
                </a:ext>
              </a:extLst>
            </xdr:cNvPr>
            <xdr:cNvSpPr txBox="1"/>
          </xdr:nvSpPr>
          <xdr:spPr>
            <a:xfrm>
              <a:off x="906011" y="16186790"/>
              <a:ext cx="3365472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%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△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𝐶𝑜𝑛𝑣𝑒𝑥𝑖𝑡𝑦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)=−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 △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+0.5 ×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 △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8CBBE9E-0C2B-957F-AB57-CC3C9BD1ECEE}"/>
                </a:ext>
              </a:extLst>
            </xdr:cNvPr>
            <xdr:cNvSpPr txBox="1"/>
          </xdr:nvSpPr>
          <xdr:spPr>
            <a:xfrm>
              <a:off x="906011" y="16186790"/>
              <a:ext cx="3365472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%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△𝑃 (𝐶𝑜𝑛𝑣𝑒𝑥𝑖𝑡𝑦)</a:t>
              </a:r>
              <a:r>
                <a:rPr lang="en-US" sz="1100" b="0" i="0">
                  <a:latin typeface="Cambria Math" panose="02040503050406030204" pitchFamily="18" charset="0"/>
                </a:rPr>
                <a:t>=−(𝐷_𝐴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△𝑦)+0.5 × (𝐶_𝐴  × △𝑦^2 )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93211</xdr:colOff>
      <xdr:row>81</xdr:row>
      <xdr:rowOff>34954</xdr:rowOff>
    </xdr:from>
    <xdr:ext cx="1889107" cy="173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738B0CC-1DDD-EF4E-9F8A-DBC96CA7C033}"/>
                </a:ext>
              </a:extLst>
            </xdr:cNvPr>
            <xdr:cNvSpPr txBox="1"/>
          </xdr:nvSpPr>
          <xdr:spPr>
            <a:xfrm>
              <a:off x="920459" y="11418348"/>
              <a:ext cx="188910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&amp;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=%△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𝑀𝑎𝑟𝑘𝑒𝑡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𝑉𝑎𝑙𝑢𝑒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738B0CC-1DDD-EF4E-9F8A-DBC96CA7C033}"/>
                </a:ext>
              </a:extLst>
            </xdr:cNvPr>
            <xdr:cNvSpPr txBox="1"/>
          </xdr:nvSpPr>
          <xdr:spPr>
            <a:xfrm>
              <a:off x="920459" y="11418348"/>
              <a:ext cx="188910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𝑃&amp;𝐿=%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△𝑃 × 𝑀𝑎𝑟𝑘𝑒𝑡 𝑉𝑎𝑙𝑢𝑒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796000</xdr:colOff>
      <xdr:row>47</xdr:row>
      <xdr:rowOff>6719</xdr:rowOff>
    </xdr:from>
    <xdr:ext cx="2006063" cy="201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8FCD402-3117-D34B-84AD-49746E8C252D}"/>
                </a:ext>
              </a:extLst>
            </xdr:cNvPr>
            <xdr:cNvSpPr txBox="1"/>
          </xdr:nvSpPr>
          <xdr:spPr>
            <a:xfrm>
              <a:off x="796000" y="9811119"/>
              <a:ext cx="2006063" cy="201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)+ 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)=0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8FCD402-3117-D34B-84AD-49746E8C252D}"/>
                </a:ext>
              </a:extLst>
            </xdr:cNvPr>
            <xdr:cNvSpPr txBox="1"/>
          </xdr:nvSpPr>
          <xdr:spPr>
            <a:xfrm>
              <a:off x="796000" y="9811119"/>
              <a:ext cx="2006063" cy="201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(𝑀𝑉〗_𝐴 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𝐷_𝐴)+ </a:t>
              </a:r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(𝑀𝑉〗_𝐵 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𝐷_𝐵)=0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646227</xdr:colOff>
      <xdr:row>63</xdr:row>
      <xdr:rowOff>203246</xdr:rowOff>
    </xdr:from>
    <xdr:to>
      <xdr:col>15</xdr:col>
      <xdr:colOff>292475</xdr:colOff>
      <xdr:row>78</xdr:row>
      <xdr:rowOff>39257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2C50E7-8ED3-7106-97D5-C620E163133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57726</xdr:colOff>
      <xdr:row>38</xdr:row>
      <xdr:rowOff>126999</xdr:rowOff>
    </xdr:from>
    <xdr:to>
      <xdr:col>4</xdr:col>
      <xdr:colOff>1177636</xdr:colOff>
      <xdr:row>38</xdr:row>
      <xdr:rowOff>126999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B6BD2EA-9D55-D39B-6DE1-8CA3EFBB96CA}"/>
            </a:ext>
          </a:extLst>
        </xdr:cNvPr>
        <xdr:cNvCxnSpPr/>
      </xdr:nvCxnSpPr>
      <xdr:spPr>
        <a:xfrm>
          <a:off x="4398817" y="8278090"/>
          <a:ext cx="111991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532646</xdr:colOff>
      <xdr:row>3</xdr:row>
      <xdr:rowOff>35463</xdr:rowOff>
    </xdr:from>
    <xdr:to>
      <xdr:col>9</xdr:col>
      <xdr:colOff>1092598</xdr:colOff>
      <xdr:row>18</xdr:row>
      <xdr:rowOff>90607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C8454E-E592-4AB2-9AB5-46BBB3B34CA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D16A-3116-D540-91F7-675BD89DCBA7}">
  <dimension ref="B2:H39"/>
  <sheetViews>
    <sheetView showGridLines="0" zoomScale="118" workbookViewId="0">
      <selection activeCell="B3" sqref="B3"/>
    </sheetView>
  </sheetViews>
  <sheetFormatPr baseColWidth="10" defaultRowHeight="16" x14ac:dyDescent="0.2"/>
  <cols>
    <col min="1" max="1" width="10.83203125" style="12"/>
    <col min="2" max="26" width="14.83203125" style="12" customWidth="1"/>
    <col min="27" max="16384" width="10.83203125" style="12"/>
  </cols>
  <sheetData>
    <row r="2" spans="2:8" ht="20" x14ac:dyDescent="0.2">
      <c r="B2" s="1" t="s">
        <v>95</v>
      </c>
    </row>
    <row r="4" spans="2:8" x14ac:dyDescent="0.2">
      <c r="B4" s="14" t="s">
        <v>23</v>
      </c>
      <c r="C4" s="14" t="s">
        <v>1</v>
      </c>
      <c r="F4" s="2" t="s">
        <v>4</v>
      </c>
      <c r="G4" s="2" t="s">
        <v>9</v>
      </c>
      <c r="H4" s="4" t="s">
        <v>10</v>
      </c>
    </row>
    <row r="5" spans="2:8" x14ac:dyDescent="0.2">
      <c r="B5" s="15" t="s">
        <v>2</v>
      </c>
      <c r="C5" s="16">
        <v>1000</v>
      </c>
      <c r="F5" s="10" t="s">
        <v>11</v>
      </c>
      <c r="G5" s="10">
        <v>0.25</v>
      </c>
      <c r="H5" s="17">
        <v>3.7199999999999997E-2</v>
      </c>
    </row>
    <row r="6" spans="2:8" x14ac:dyDescent="0.2">
      <c r="B6" s="15" t="s">
        <v>3</v>
      </c>
      <c r="C6" s="18">
        <v>0.05</v>
      </c>
      <c r="F6" s="10" t="s">
        <v>12</v>
      </c>
      <c r="G6" s="10">
        <v>0.5</v>
      </c>
      <c r="H6" s="17">
        <v>3.6999999999999998E-2</v>
      </c>
    </row>
    <row r="7" spans="2:8" x14ac:dyDescent="0.2">
      <c r="B7" s="15" t="s">
        <v>5</v>
      </c>
      <c r="C7" s="16">
        <v>5</v>
      </c>
      <c r="F7" s="10" t="s">
        <v>13</v>
      </c>
      <c r="G7" s="10">
        <v>1</v>
      </c>
      <c r="H7" s="17">
        <v>3.6600000000000001E-2</v>
      </c>
    </row>
    <row r="8" spans="2:8" x14ac:dyDescent="0.2">
      <c r="B8" s="15" t="s">
        <v>6</v>
      </c>
      <c r="C8" s="16">
        <v>1</v>
      </c>
      <c r="F8" s="10" t="s">
        <v>14</v>
      </c>
      <c r="G8" s="10">
        <v>2</v>
      </c>
      <c r="H8" s="17">
        <v>3.7600000000000001E-2</v>
      </c>
    </row>
    <row r="9" spans="2:8" x14ac:dyDescent="0.2">
      <c r="B9" s="15" t="s">
        <v>7</v>
      </c>
      <c r="C9" s="16">
        <f>C5*C6</f>
        <v>50</v>
      </c>
      <c r="F9" s="10" t="s">
        <v>15</v>
      </c>
      <c r="G9" s="10">
        <v>5</v>
      </c>
      <c r="H9" s="17">
        <v>3.8800000000000001E-2</v>
      </c>
    </row>
    <row r="10" spans="2:8" x14ac:dyDescent="0.2">
      <c r="F10" s="10" t="s">
        <v>16</v>
      </c>
      <c r="G10" s="10">
        <v>10</v>
      </c>
      <c r="H10" s="17">
        <v>4.2700000000000002E-2</v>
      </c>
    </row>
    <row r="11" spans="2:8" x14ac:dyDescent="0.2">
      <c r="F11" s="10" t="s">
        <v>17</v>
      </c>
      <c r="G11" s="10">
        <v>30</v>
      </c>
      <c r="H11" s="17">
        <v>4.8800000000000003E-2</v>
      </c>
    </row>
    <row r="12" spans="2:8" x14ac:dyDescent="0.2">
      <c r="G12" s="13"/>
      <c r="H12" s="17"/>
    </row>
    <row r="14" spans="2:8" x14ac:dyDescent="0.2">
      <c r="B14" s="19" t="s">
        <v>24</v>
      </c>
    </row>
    <row r="15" spans="2:8" x14ac:dyDescent="0.2">
      <c r="B15" s="2" t="s">
        <v>9</v>
      </c>
      <c r="C15" s="2" t="s">
        <v>18</v>
      </c>
      <c r="D15" s="2" t="s">
        <v>10</v>
      </c>
      <c r="E15" s="2" t="s">
        <v>87</v>
      </c>
      <c r="F15" s="4" t="s">
        <v>20</v>
      </c>
    </row>
    <row r="16" spans="2:8" x14ac:dyDescent="0.2">
      <c r="B16" s="10">
        <v>1</v>
      </c>
      <c r="C16" s="11">
        <f>$C$9</f>
        <v>50</v>
      </c>
      <c r="D16" s="20">
        <f>$H$9</f>
        <v>3.8800000000000001E-2</v>
      </c>
      <c r="E16" s="6">
        <f>1/(1+D16)^B16</f>
        <v>0.9626492106276473</v>
      </c>
      <c r="F16" s="9">
        <f>C16*E16</f>
        <v>48.132460531382364</v>
      </c>
    </row>
    <row r="17" spans="2:6" x14ac:dyDescent="0.2">
      <c r="B17" s="10">
        <v>2</v>
      </c>
      <c r="C17" s="11">
        <f t="shared" ref="C17:C19" si="0">$C$9</f>
        <v>50</v>
      </c>
      <c r="D17" s="20">
        <f t="shared" ref="D17:D20" si="1">$H$9</f>
        <v>3.8800000000000001E-2</v>
      </c>
      <c r="E17" s="6">
        <f t="shared" ref="E17:E20" si="2">1/(1+D17)^B17</f>
        <v>0.92669350272203244</v>
      </c>
      <c r="F17" s="9">
        <f t="shared" ref="F17:F20" si="3">C17*E17</f>
        <v>46.334675136101623</v>
      </c>
    </row>
    <row r="18" spans="2:6" x14ac:dyDescent="0.2">
      <c r="B18" s="10">
        <v>3</v>
      </c>
      <c r="C18" s="11">
        <f t="shared" si="0"/>
        <v>50</v>
      </c>
      <c r="D18" s="20">
        <f t="shared" si="1"/>
        <v>3.8800000000000001E-2</v>
      </c>
      <c r="E18" s="6">
        <f t="shared" si="2"/>
        <v>0.89208076888913401</v>
      </c>
      <c r="F18" s="9">
        <f t="shared" si="3"/>
        <v>44.604038444456698</v>
      </c>
    </row>
    <row r="19" spans="2:6" x14ac:dyDescent="0.2">
      <c r="B19" s="10">
        <v>4</v>
      </c>
      <c r="C19" s="11">
        <f t="shared" si="0"/>
        <v>50</v>
      </c>
      <c r="D19" s="20">
        <f t="shared" si="1"/>
        <v>3.8800000000000001E-2</v>
      </c>
      <c r="E19" s="6">
        <f t="shared" si="2"/>
        <v>0.85876084798722951</v>
      </c>
      <c r="F19" s="9">
        <f t="shared" si="3"/>
        <v>42.938042399361478</v>
      </c>
    </row>
    <row r="20" spans="2:6" x14ac:dyDescent="0.2">
      <c r="B20" s="10">
        <v>5</v>
      </c>
      <c r="C20" s="11">
        <f>$C$9+C5</f>
        <v>1050</v>
      </c>
      <c r="D20" s="20">
        <f t="shared" si="1"/>
        <v>3.8800000000000001E-2</v>
      </c>
      <c r="E20" s="6">
        <f t="shared" si="2"/>
        <v>0.82668545243283564</v>
      </c>
      <c r="F20" s="9">
        <f t="shared" si="3"/>
        <v>868.01972505447748</v>
      </c>
    </row>
    <row r="21" spans="2:6" x14ac:dyDescent="0.2">
      <c r="B21" s="13" t="s">
        <v>21</v>
      </c>
      <c r="F21" s="9">
        <f>SUM(F16:F20)</f>
        <v>1050.0289415657796</v>
      </c>
    </row>
    <row r="25" spans="2:6" x14ac:dyDescent="0.2">
      <c r="B25" s="19" t="s">
        <v>25</v>
      </c>
    </row>
    <row r="26" spans="2:6" x14ac:dyDescent="0.2">
      <c r="B26" s="2" t="s">
        <v>9</v>
      </c>
      <c r="C26" s="2" t="s">
        <v>18</v>
      </c>
      <c r="D26" s="2" t="s">
        <v>10</v>
      </c>
      <c r="E26" s="2" t="s">
        <v>87</v>
      </c>
      <c r="F26" s="4" t="s">
        <v>20</v>
      </c>
    </row>
    <row r="27" spans="2:6" x14ac:dyDescent="0.2">
      <c r="B27" s="10">
        <v>1</v>
      </c>
      <c r="C27" s="11">
        <f>$C$9</f>
        <v>50</v>
      </c>
      <c r="D27" s="21">
        <f>H7</f>
        <v>3.6600000000000001E-2</v>
      </c>
      <c r="E27" s="6">
        <f>1/(1+D27)^B27</f>
        <v>0.96469226316804946</v>
      </c>
      <c r="F27" s="9">
        <f>C27*E27</f>
        <v>48.234613158402475</v>
      </c>
    </row>
    <row r="28" spans="2:6" x14ac:dyDescent="0.2">
      <c r="B28" s="10">
        <v>2</v>
      </c>
      <c r="C28" s="11">
        <f t="shared" ref="C28:C30" si="4">$C$9</f>
        <v>50</v>
      </c>
      <c r="D28" s="21">
        <f>H8</f>
        <v>3.7600000000000001E-2</v>
      </c>
      <c r="E28" s="6">
        <f t="shared" ref="E28:E31" si="5">1/(1+D28)^B28</f>
        <v>0.92883821213654183</v>
      </c>
      <c r="F28" s="9">
        <f t="shared" ref="F28:F31" si="6">C28*E28</f>
        <v>46.441910606827093</v>
      </c>
    </row>
    <row r="29" spans="2:6" x14ac:dyDescent="0.2">
      <c r="B29" s="10">
        <v>3</v>
      </c>
      <c r="C29" s="11">
        <f t="shared" si="4"/>
        <v>50</v>
      </c>
      <c r="D29" s="21">
        <f>D28+(D31-D28)/3*1</f>
        <v>3.7999999999999999E-2</v>
      </c>
      <c r="E29" s="6">
        <f t="shared" si="5"/>
        <v>0.89414497347569</v>
      </c>
      <c r="F29" s="9">
        <f t="shared" si="6"/>
        <v>44.707248673784498</v>
      </c>
    </row>
    <row r="30" spans="2:6" x14ac:dyDescent="0.2">
      <c r="B30" s="10">
        <v>4</v>
      </c>
      <c r="C30" s="11">
        <f t="shared" si="4"/>
        <v>50</v>
      </c>
      <c r="D30" s="21">
        <f>D28+(D31-D28)/3*2</f>
        <v>3.8400000000000004E-2</v>
      </c>
      <c r="E30" s="6">
        <f t="shared" si="5"/>
        <v>0.86008481898532818</v>
      </c>
      <c r="F30" s="9">
        <f t="shared" si="6"/>
        <v>43.004240949266411</v>
      </c>
    </row>
    <row r="31" spans="2:6" x14ac:dyDescent="0.2">
      <c r="B31" s="10">
        <v>5</v>
      </c>
      <c r="C31" s="11">
        <f>$C$9+C5</f>
        <v>1050</v>
      </c>
      <c r="D31" s="21">
        <f>H9</f>
        <v>3.8800000000000001E-2</v>
      </c>
      <c r="E31" s="6">
        <f t="shared" si="5"/>
        <v>0.82668545243283564</v>
      </c>
      <c r="F31" s="9">
        <f t="shared" si="6"/>
        <v>868.01972505447748</v>
      </c>
    </row>
    <row r="32" spans="2:6" x14ac:dyDescent="0.2">
      <c r="B32" s="13" t="s">
        <v>21</v>
      </c>
      <c r="F32" s="9">
        <f>SUM(F27:F31)</f>
        <v>1050.407738442758</v>
      </c>
    </row>
    <row r="33" spans="2:5" x14ac:dyDescent="0.2">
      <c r="B33" s="15" t="s">
        <v>31</v>
      </c>
    </row>
    <row r="36" spans="2:5" x14ac:dyDescent="0.2">
      <c r="B36" s="19" t="s">
        <v>26</v>
      </c>
    </row>
    <row r="37" spans="2:5" x14ac:dyDescent="0.2">
      <c r="B37" s="2" t="s">
        <v>22</v>
      </c>
      <c r="C37" s="2" t="s">
        <v>27</v>
      </c>
      <c r="D37" s="2" t="s">
        <v>28</v>
      </c>
      <c r="E37" s="4" t="s">
        <v>29</v>
      </c>
    </row>
    <row r="38" spans="2:5" x14ac:dyDescent="0.2">
      <c r="B38" s="10" t="s">
        <v>30</v>
      </c>
      <c r="C38" s="7">
        <f>F21</f>
        <v>1050.0289415657796</v>
      </c>
      <c r="D38" s="29"/>
    </row>
    <row r="39" spans="2:5" x14ac:dyDescent="0.2">
      <c r="B39" s="10" t="s">
        <v>8</v>
      </c>
      <c r="C39" s="7">
        <f>F32</f>
        <v>1050.407738442758</v>
      </c>
      <c r="D39" s="7">
        <f>C39-C38</f>
        <v>0.37879687697841291</v>
      </c>
      <c r="E39" s="23">
        <f>D39/C38</f>
        <v>3.6074898698845341E-4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DBF8-C741-4F4E-B743-6B733B23EC3C}">
  <dimension ref="B2:G86"/>
  <sheetViews>
    <sheetView showGridLines="0" zoomScale="135" zoomScaleNormal="265" workbookViewId="0">
      <selection activeCell="B20" activeCellId="1" sqref="B12 B20"/>
    </sheetView>
  </sheetViews>
  <sheetFormatPr baseColWidth="10" defaultRowHeight="16" x14ac:dyDescent="0.2"/>
  <cols>
    <col min="1" max="1" width="10.83203125" style="12"/>
    <col min="2" max="3" width="14.83203125" style="12" customWidth="1"/>
    <col min="4" max="5" width="16.33203125" style="12" customWidth="1"/>
    <col min="6" max="25" width="14.83203125" style="12" customWidth="1"/>
    <col min="26" max="16384" width="10.83203125" style="12"/>
  </cols>
  <sheetData>
    <row r="2" spans="2:6" ht="20" x14ac:dyDescent="0.2">
      <c r="B2" s="1" t="s">
        <v>32</v>
      </c>
    </row>
    <row r="4" spans="2:6" x14ac:dyDescent="0.2">
      <c r="B4" s="12" t="s">
        <v>33</v>
      </c>
      <c r="C4" s="13" t="s">
        <v>1</v>
      </c>
      <c r="E4" s="12" t="s">
        <v>36</v>
      </c>
      <c r="F4" s="13" t="s">
        <v>1</v>
      </c>
    </row>
    <row r="5" spans="2:6" x14ac:dyDescent="0.2">
      <c r="B5" s="12" t="s">
        <v>2</v>
      </c>
      <c r="C5" s="12">
        <v>1000</v>
      </c>
      <c r="E5" s="12" t="s">
        <v>2</v>
      </c>
      <c r="F5" s="12">
        <v>1000</v>
      </c>
    </row>
    <row r="6" spans="2:6" x14ac:dyDescent="0.2">
      <c r="B6" s="12" t="s">
        <v>3</v>
      </c>
      <c r="C6" s="24">
        <v>0.05</v>
      </c>
      <c r="E6" s="12" t="s">
        <v>3</v>
      </c>
      <c r="F6" s="24">
        <v>0.04</v>
      </c>
    </row>
    <row r="7" spans="2:6" x14ac:dyDescent="0.2">
      <c r="B7" s="12" t="s">
        <v>5</v>
      </c>
      <c r="C7" s="12">
        <v>5</v>
      </c>
      <c r="E7" s="12" t="s">
        <v>5</v>
      </c>
      <c r="F7" s="12">
        <v>10</v>
      </c>
    </row>
    <row r="8" spans="2:6" x14ac:dyDescent="0.2">
      <c r="B8" s="12" t="s">
        <v>10</v>
      </c>
      <c r="C8" s="25">
        <f>'Bond Valuation'!H9</f>
        <v>3.8800000000000001E-2</v>
      </c>
      <c r="E8" s="12" t="s">
        <v>10</v>
      </c>
      <c r="F8" s="25">
        <f>'Bond Valuation'!H10</f>
        <v>4.2700000000000002E-2</v>
      </c>
    </row>
    <row r="9" spans="2:6" x14ac:dyDescent="0.2">
      <c r="B9" s="12" t="s">
        <v>34</v>
      </c>
      <c r="C9" s="12">
        <v>1</v>
      </c>
      <c r="E9" s="12" t="s">
        <v>34</v>
      </c>
      <c r="F9" s="12">
        <v>1</v>
      </c>
    </row>
    <row r="10" spans="2:6" x14ac:dyDescent="0.2">
      <c r="B10" s="12" t="s">
        <v>7</v>
      </c>
      <c r="C10" s="12">
        <f>C5*C6</f>
        <v>50</v>
      </c>
      <c r="E10" s="12" t="s">
        <v>7</v>
      </c>
      <c r="F10" s="12">
        <f>F5*F6</f>
        <v>40</v>
      </c>
    </row>
    <row r="12" spans="2:6" x14ac:dyDescent="0.2">
      <c r="B12" s="19" t="s">
        <v>0</v>
      </c>
    </row>
    <row r="13" spans="2:6" x14ac:dyDescent="0.2">
      <c r="B13" s="2" t="s">
        <v>9</v>
      </c>
      <c r="C13" s="2" t="s">
        <v>18</v>
      </c>
      <c r="D13" s="2" t="s">
        <v>87</v>
      </c>
      <c r="E13" s="2" t="s">
        <v>20</v>
      </c>
      <c r="F13" s="4" t="s">
        <v>35</v>
      </c>
    </row>
    <row r="14" spans="2:6" x14ac:dyDescent="0.2">
      <c r="B14" s="10">
        <v>1</v>
      </c>
      <c r="C14" s="11">
        <f>$C$10</f>
        <v>50</v>
      </c>
      <c r="D14" s="6">
        <f>1/(1+$C$8)^B14</f>
        <v>0.9626492106276473</v>
      </c>
      <c r="E14" s="11">
        <f>C14*D14</f>
        <v>48.132460531382364</v>
      </c>
      <c r="F14" s="9">
        <f>B14*E14</f>
        <v>48.132460531382364</v>
      </c>
    </row>
    <row r="15" spans="2:6" x14ac:dyDescent="0.2">
      <c r="B15" s="10">
        <v>2</v>
      </c>
      <c r="C15" s="11">
        <f t="shared" ref="C15:C17" si="0">$C$10</f>
        <v>50</v>
      </c>
      <c r="D15" s="6">
        <f t="shared" ref="D15:D18" si="1">1/(1+$C$8)^B15</f>
        <v>0.92669350272203244</v>
      </c>
      <c r="E15" s="11">
        <f t="shared" ref="E15:E18" si="2">C15*D15</f>
        <v>46.334675136101623</v>
      </c>
      <c r="F15" s="9">
        <f t="shared" ref="F15:F18" si="3">B15*E15</f>
        <v>92.669350272203246</v>
      </c>
    </row>
    <row r="16" spans="2:6" x14ac:dyDescent="0.2">
      <c r="B16" s="10">
        <v>3</v>
      </c>
      <c r="C16" s="11">
        <f t="shared" si="0"/>
        <v>50</v>
      </c>
      <c r="D16" s="6">
        <f t="shared" si="1"/>
        <v>0.89208076888913401</v>
      </c>
      <c r="E16" s="11">
        <f t="shared" si="2"/>
        <v>44.604038444456698</v>
      </c>
      <c r="F16" s="9">
        <f t="shared" si="3"/>
        <v>133.81211533337009</v>
      </c>
    </row>
    <row r="17" spans="2:6" x14ac:dyDescent="0.2">
      <c r="B17" s="10">
        <v>4</v>
      </c>
      <c r="C17" s="11">
        <f t="shared" si="0"/>
        <v>50</v>
      </c>
      <c r="D17" s="6">
        <f t="shared" si="1"/>
        <v>0.85876084798722951</v>
      </c>
      <c r="E17" s="11">
        <f t="shared" si="2"/>
        <v>42.938042399361478</v>
      </c>
      <c r="F17" s="9">
        <f t="shared" si="3"/>
        <v>171.75216959744591</v>
      </c>
    </row>
    <row r="18" spans="2:6" x14ac:dyDescent="0.2">
      <c r="B18" s="10">
        <v>5</v>
      </c>
      <c r="C18" s="11">
        <f>$C$10+C5</f>
        <v>1050</v>
      </c>
      <c r="D18" s="6">
        <f t="shared" si="1"/>
        <v>0.82668545243283564</v>
      </c>
      <c r="E18" s="11">
        <f t="shared" si="2"/>
        <v>868.01972505447748</v>
      </c>
      <c r="F18" s="9">
        <f t="shared" si="3"/>
        <v>4340.0986252723869</v>
      </c>
    </row>
    <row r="20" spans="2:6" x14ac:dyDescent="0.2">
      <c r="B20" s="19" t="s">
        <v>39</v>
      </c>
    </row>
    <row r="21" spans="2:6" x14ac:dyDescent="0.2">
      <c r="B21" s="2" t="s">
        <v>9</v>
      </c>
      <c r="C21" s="2" t="s">
        <v>18</v>
      </c>
      <c r="D21" s="2" t="s">
        <v>87</v>
      </c>
      <c r="E21" s="2" t="s">
        <v>20</v>
      </c>
      <c r="F21" s="4" t="s">
        <v>35</v>
      </c>
    </row>
    <row r="22" spans="2:6" x14ac:dyDescent="0.2">
      <c r="B22" s="10">
        <v>1</v>
      </c>
      <c r="C22" s="11">
        <f>$F$10</f>
        <v>40</v>
      </c>
      <c r="D22" s="6">
        <f>1/(1+$F$8)^B22</f>
        <v>0.95904862376522493</v>
      </c>
      <c r="E22" s="11">
        <f>C22*D22</f>
        <v>38.361944950609001</v>
      </c>
      <c r="F22" s="9">
        <f>B22*E22</f>
        <v>38.361944950609001</v>
      </c>
    </row>
    <row r="23" spans="2:6" x14ac:dyDescent="0.2">
      <c r="B23" s="10">
        <v>2</v>
      </c>
      <c r="C23" s="11">
        <f t="shared" ref="C23:C30" si="4">$F$10</f>
        <v>40</v>
      </c>
      <c r="D23" s="6">
        <f t="shared" ref="D23:D31" si="5">1/(1+$F$8)^B23</f>
        <v>0.91977426274597207</v>
      </c>
      <c r="E23" s="11">
        <f t="shared" ref="E23:E26" si="6">C23*D23</f>
        <v>36.790970509838886</v>
      </c>
      <c r="F23" s="9">
        <f t="shared" ref="F23:F26" si="7">B23*E23</f>
        <v>73.581941019677771</v>
      </c>
    </row>
    <row r="24" spans="2:6" x14ac:dyDescent="0.2">
      <c r="B24" s="10">
        <v>3</v>
      </c>
      <c r="C24" s="11">
        <f t="shared" si="4"/>
        <v>40</v>
      </c>
      <c r="D24" s="6">
        <f t="shared" si="5"/>
        <v>0.88210824086119877</v>
      </c>
      <c r="E24" s="11">
        <f t="shared" si="6"/>
        <v>35.28432963444795</v>
      </c>
      <c r="F24" s="9">
        <f t="shared" si="7"/>
        <v>105.85298890334386</v>
      </c>
    </row>
    <row r="25" spans="2:6" x14ac:dyDescent="0.2">
      <c r="B25" s="10">
        <v>4</v>
      </c>
      <c r="C25" s="11">
        <f t="shared" si="4"/>
        <v>40</v>
      </c>
      <c r="D25" s="6">
        <f t="shared" si="5"/>
        <v>0.84598469440989632</v>
      </c>
      <c r="E25" s="11">
        <f t="shared" si="6"/>
        <v>33.839387776395853</v>
      </c>
      <c r="F25" s="9">
        <f t="shared" si="7"/>
        <v>135.35755110558341</v>
      </c>
    </row>
    <row r="26" spans="2:6" x14ac:dyDescent="0.2">
      <c r="B26" s="10">
        <v>5</v>
      </c>
      <c r="C26" s="11">
        <f t="shared" si="4"/>
        <v>40</v>
      </c>
      <c r="D26" s="6">
        <f t="shared" si="5"/>
        <v>0.81134045690025547</v>
      </c>
      <c r="E26" s="11">
        <f t="shared" si="6"/>
        <v>32.453618276010218</v>
      </c>
      <c r="F26" s="9">
        <f t="shared" si="7"/>
        <v>162.26809138005109</v>
      </c>
    </row>
    <row r="27" spans="2:6" x14ac:dyDescent="0.2">
      <c r="B27" s="10">
        <v>6</v>
      </c>
      <c r="C27" s="11">
        <f t="shared" si="4"/>
        <v>40</v>
      </c>
      <c r="D27" s="6">
        <f t="shared" si="5"/>
        <v>0.77811494859523878</v>
      </c>
      <c r="E27" s="11">
        <f t="shared" ref="E27:E31" si="8">C27*D27</f>
        <v>31.124597943809551</v>
      </c>
      <c r="F27" s="9">
        <f t="shared" ref="F27:F31" si="9">B27*E27</f>
        <v>186.74758766285731</v>
      </c>
    </row>
    <row r="28" spans="2:6" x14ac:dyDescent="0.2">
      <c r="B28" s="10">
        <v>7</v>
      </c>
      <c r="C28" s="11">
        <f t="shared" si="4"/>
        <v>40</v>
      </c>
      <c r="D28" s="6">
        <f t="shared" si="5"/>
        <v>0.74625007058141257</v>
      </c>
      <c r="E28" s="11">
        <f t="shared" si="8"/>
        <v>29.850002823256503</v>
      </c>
      <c r="F28" s="9">
        <f t="shared" si="9"/>
        <v>208.95001976279553</v>
      </c>
    </row>
    <row r="29" spans="2:6" x14ac:dyDescent="0.2">
      <c r="B29" s="10">
        <v>8</v>
      </c>
      <c r="C29" s="11">
        <f t="shared" si="4"/>
        <v>40</v>
      </c>
      <c r="D29" s="6">
        <f t="shared" si="5"/>
        <v>0.71569010317580573</v>
      </c>
      <c r="E29" s="11">
        <f t="shared" si="8"/>
        <v>28.627604127032228</v>
      </c>
      <c r="F29" s="9">
        <f t="shared" si="9"/>
        <v>229.02083301625782</v>
      </c>
    </row>
    <row r="30" spans="2:6" x14ac:dyDescent="0.2">
      <c r="B30" s="10">
        <v>9</v>
      </c>
      <c r="C30" s="11">
        <f t="shared" si="4"/>
        <v>40</v>
      </c>
      <c r="D30" s="6">
        <f t="shared" si="5"/>
        <v>0.68638160849314833</v>
      </c>
      <c r="E30" s="11">
        <f t="shared" si="8"/>
        <v>27.455264339725932</v>
      </c>
      <c r="F30" s="9">
        <f t="shared" si="9"/>
        <v>247.0973790575334</v>
      </c>
    </row>
    <row r="31" spans="2:6" x14ac:dyDescent="0.2">
      <c r="B31" s="10">
        <v>10</v>
      </c>
      <c r="C31" s="11">
        <f>$F$10+F5</f>
        <v>1040</v>
      </c>
      <c r="D31" s="6">
        <f t="shared" si="5"/>
        <v>0.65827333700311541</v>
      </c>
      <c r="E31" s="11">
        <f t="shared" si="8"/>
        <v>684.60427048324004</v>
      </c>
      <c r="F31" s="9">
        <f t="shared" si="9"/>
        <v>6846.0427048324</v>
      </c>
    </row>
    <row r="34" spans="2:6" x14ac:dyDescent="0.2">
      <c r="B34" s="2" t="s">
        <v>40</v>
      </c>
      <c r="C34" s="2" t="s">
        <v>27</v>
      </c>
      <c r="D34" s="2" t="s">
        <v>37</v>
      </c>
      <c r="E34" s="4" t="s">
        <v>38</v>
      </c>
    </row>
    <row r="35" spans="2:6" x14ac:dyDescent="0.2">
      <c r="B35" s="10" t="s">
        <v>41</v>
      </c>
      <c r="C35" s="7">
        <f>SUM(E14:E18)</f>
        <v>1050.0289415657796</v>
      </c>
      <c r="D35" s="11">
        <f>SUM(F14:F18)/C35</f>
        <v>4.5584121842101988</v>
      </c>
      <c r="E35" s="9">
        <f>ROUND(D35/(1+C8),2)</f>
        <v>4.3899999999999997</v>
      </c>
    </row>
    <row r="36" spans="2:6" x14ac:dyDescent="0.2">
      <c r="B36" s="10" t="s">
        <v>42</v>
      </c>
      <c r="C36" s="7">
        <f>SUM(E22:E31)</f>
        <v>978.39199086436611</v>
      </c>
      <c r="D36" s="11">
        <f>SUM(F22:F31)/C36</f>
        <v>8.4151149217987449</v>
      </c>
      <c r="E36" s="9">
        <f>ROUND(D36/(1+F8),2)</f>
        <v>8.07</v>
      </c>
    </row>
    <row r="39" spans="2:6" x14ac:dyDescent="0.2">
      <c r="B39" s="12" t="s">
        <v>43</v>
      </c>
    </row>
    <row r="40" spans="2:6" x14ac:dyDescent="0.2">
      <c r="B40" s="12" t="s">
        <v>44</v>
      </c>
      <c r="D40" s="9">
        <v>1000000</v>
      </c>
      <c r="F40" s="12" t="s">
        <v>45</v>
      </c>
    </row>
    <row r="41" spans="2:6" x14ac:dyDescent="0.2">
      <c r="D41" s="9"/>
    </row>
    <row r="43" spans="2:6" x14ac:dyDescent="0.2">
      <c r="B43" s="19" t="s">
        <v>46</v>
      </c>
    </row>
    <row r="44" spans="2:6" x14ac:dyDescent="0.2">
      <c r="B44" s="12" t="s">
        <v>69</v>
      </c>
    </row>
    <row r="45" spans="2:6" x14ac:dyDescent="0.2">
      <c r="B45" s="12" t="s">
        <v>47</v>
      </c>
    </row>
    <row r="46" spans="2:6" x14ac:dyDescent="0.2">
      <c r="B46" s="12" t="s">
        <v>48</v>
      </c>
      <c r="C46" s="9">
        <f>D40*E35</f>
        <v>4390000</v>
      </c>
    </row>
    <row r="48" spans="2:6" x14ac:dyDescent="0.2">
      <c r="B48" s="12" t="s">
        <v>49</v>
      </c>
    </row>
    <row r="50" spans="2:6" ht="18" x14ac:dyDescent="0.25">
      <c r="B50" s="12" t="s">
        <v>88</v>
      </c>
      <c r="C50" s="22">
        <f>ROUND(-(D40*E35)/E36,0)</f>
        <v>-543990</v>
      </c>
    </row>
    <row r="51" spans="2:6" x14ac:dyDescent="0.2">
      <c r="B51" s="12" t="s">
        <v>50</v>
      </c>
    </row>
    <row r="52" spans="2:6" x14ac:dyDescent="0.2">
      <c r="B52" s="12" t="s">
        <v>51</v>
      </c>
      <c r="F52" s="22">
        <f>-C50/C36</f>
        <v>556.00414259259105</v>
      </c>
    </row>
    <row r="53" spans="2:6" x14ac:dyDescent="0.2">
      <c r="F53" s="22"/>
    </row>
    <row r="55" spans="2:6" x14ac:dyDescent="0.2">
      <c r="B55" s="19" t="s">
        <v>53</v>
      </c>
    </row>
    <row r="56" spans="2:6" x14ac:dyDescent="0.2">
      <c r="B56" s="12" t="s">
        <v>54</v>
      </c>
      <c r="D56" s="22">
        <f>D40</f>
        <v>1000000</v>
      </c>
    </row>
    <row r="57" spans="2:6" x14ac:dyDescent="0.2">
      <c r="B57" s="12" t="s">
        <v>55</v>
      </c>
      <c r="D57" s="22">
        <f>E35</f>
        <v>4.3899999999999997</v>
      </c>
    </row>
    <row r="58" spans="2:6" x14ac:dyDescent="0.2">
      <c r="B58" s="12" t="s">
        <v>56</v>
      </c>
      <c r="D58" s="22">
        <f>E36</f>
        <v>8.07</v>
      </c>
    </row>
    <row r="59" spans="2:6" x14ac:dyDescent="0.2">
      <c r="B59" s="12" t="s">
        <v>57</v>
      </c>
      <c r="D59" s="22">
        <f>C50</f>
        <v>-543990</v>
      </c>
    </row>
    <row r="60" spans="2:6" x14ac:dyDescent="0.2">
      <c r="B60" s="12" t="s">
        <v>52</v>
      </c>
      <c r="D60" s="22">
        <f>C36</f>
        <v>978.39199086436611</v>
      </c>
    </row>
    <row r="61" spans="2:6" x14ac:dyDescent="0.2">
      <c r="B61" s="12" t="s">
        <v>58</v>
      </c>
      <c r="D61" s="22">
        <f>-D59/D60</f>
        <v>556.00414259259105</v>
      </c>
    </row>
    <row r="64" spans="2:6" x14ac:dyDescent="0.2">
      <c r="B64" s="19" t="s">
        <v>59</v>
      </c>
    </row>
    <row r="65" spans="2:7" x14ac:dyDescent="0.2">
      <c r="B65" s="2" t="s">
        <v>60</v>
      </c>
      <c r="C65" s="2" t="s">
        <v>61</v>
      </c>
      <c r="D65" s="2" t="s">
        <v>62</v>
      </c>
      <c r="E65" s="2" t="s">
        <v>63</v>
      </c>
      <c r="F65" s="3" t="s">
        <v>70</v>
      </c>
      <c r="G65" s="4" t="s">
        <v>71</v>
      </c>
    </row>
    <row r="66" spans="2:7" x14ac:dyDescent="0.2">
      <c r="B66" s="5">
        <v>-0.03</v>
      </c>
      <c r="C66" s="6">
        <f>B66</f>
        <v>-0.03</v>
      </c>
      <c r="D66" s="7">
        <f>-($E$35*C66)*$D$56</f>
        <v>131699.99999999997</v>
      </c>
      <c r="E66" s="7">
        <f>-($E$36*C66)*$D$59</f>
        <v>-131699.97899999999</v>
      </c>
      <c r="F66" s="8">
        <f t="shared" ref="F66:F78" si="10">D66</f>
        <v>131699.99999999997</v>
      </c>
      <c r="G66" s="9">
        <f t="shared" ref="G66:G78" si="11">SUM(D66:E66)</f>
        <v>2.0999999978812411E-2</v>
      </c>
    </row>
    <row r="67" spans="2:7" x14ac:dyDescent="0.2">
      <c r="B67" s="5">
        <v>-2.5000000000000001E-2</v>
      </c>
      <c r="C67" s="6">
        <f t="shared" ref="C67:C77" si="12">B67</f>
        <v>-2.5000000000000001E-2</v>
      </c>
      <c r="D67" s="7">
        <f t="shared" ref="D67:D77" si="13">-($E$35*C67)*$D$56</f>
        <v>109750</v>
      </c>
      <c r="E67" s="7">
        <f t="shared" ref="E67:E77" si="14">-($E$36*C67)*$D$59</f>
        <v>-109749.98250000001</v>
      </c>
      <c r="F67" s="8">
        <f t="shared" si="10"/>
        <v>109750</v>
      </c>
      <c r="G67" s="9">
        <f t="shared" si="11"/>
        <v>1.7499999987194315E-2</v>
      </c>
    </row>
    <row r="68" spans="2:7" x14ac:dyDescent="0.2">
      <c r="B68" s="5">
        <v>-0.02</v>
      </c>
      <c r="C68" s="6">
        <f t="shared" si="12"/>
        <v>-0.02</v>
      </c>
      <c r="D68" s="7">
        <f t="shared" si="13"/>
        <v>87799.999999999985</v>
      </c>
      <c r="E68" s="7">
        <f t="shared" si="14"/>
        <v>-87799.986000000004</v>
      </c>
      <c r="F68" s="8">
        <f t="shared" si="10"/>
        <v>87799.999999999985</v>
      </c>
      <c r="G68" s="9">
        <f t="shared" si="11"/>
        <v>1.3999999981024303E-2</v>
      </c>
    </row>
    <row r="69" spans="2:7" x14ac:dyDescent="0.2">
      <c r="B69" s="5">
        <v>-1.4999999999999999E-2</v>
      </c>
      <c r="C69" s="6">
        <f t="shared" si="12"/>
        <v>-1.4999999999999999E-2</v>
      </c>
      <c r="D69" s="7">
        <f t="shared" si="13"/>
        <v>65849.999999999985</v>
      </c>
      <c r="E69" s="7">
        <f t="shared" si="14"/>
        <v>-65849.989499999996</v>
      </c>
      <c r="F69" s="8">
        <f t="shared" si="10"/>
        <v>65849.999999999985</v>
      </c>
      <c r="G69" s="9">
        <f t="shared" si="11"/>
        <v>1.0499999989406206E-2</v>
      </c>
    </row>
    <row r="70" spans="2:7" x14ac:dyDescent="0.2">
      <c r="B70" s="5">
        <v>-0.01</v>
      </c>
      <c r="C70" s="6">
        <f t="shared" si="12"/>
        <v>-0.01</v>
      </c>
      <c r="D70" s="7">
        <f t="shared" si="13"/>
        <v>43899.999999999993</v>
      </c>
      <c r="E70" s="7">
        <f t="shared" si="14"/>
        <v>-43899.993000000002</v>
      </c>
      <c r="F70" s="8">
        <f t="shared" si="10"/>
        <v>43899.999999999993</v>
      </c>
      <c r="G70" s="9">
        <f t="shared" si="11"/>
        <v>6.9999999905121513E-3</v>
      </c>
    </row>
    <row r="71" spans="2:7" x14ac:dyDescent="0.2">
      <c r="B71" s="5">
        <v>-5.0000000000000001E-3</v>
      </c>
      <c r="C71" s="6">
        <f t="shared" si="12"/>
        <v>-5.0000000000000001E-3</v>
      </c>
      <c r="D71" s="7">
        <f t="shared" si="13"/>
        <v>21949.999999999996</v>
      </c>
      <c r="E71" s="7">
        <f t="shared" si="14"/>
        <v>-21949.996500000001</v>
      </c>
      <c r="F71" s="8">
        <f t="shared" si="10"/>
        <v>21949.999999999996</v>
      </c>
      <c r="G71" s="9">
        <f t="shared" si="11"/>
        <v>3.4999999952560756E-3</v>
      </c>
    </row>
    <row r="72" spans="2:7" x14ac:dyDescent="0.2">
      <c r="B72" s="5">
        <v>0</v>
      </c>
      <c r="C72" s="6">
        <f t="shared" si="12"/>
        <v>0</v>
      </c>
      <c r="D72" s="7">
        <f t="shared" si="13"/>
        <v>0</v>
      </c>
      <c r="E72" s="7">
        <f t="shared" si="14"/>
        <v>0</v>
      </c>
      <c r="F72" s="8">
        <f t="shared" si="10"/>
        <v>0</v>
      </c>
      <c r="G72" s="9">
        <f t="shared" si="11"/>
        <v>0</v>
      </c>
    </row>
    <row r="73" spans="2:7" x14ac:dyDescent="0.2">
      <c r="B73" s="5">
        <v>5.0000000000000001E-3</v>
      </c>
      <c r="C73" s="6">
        <f t="shared" si="12"/>
        <v>5.0000000000000001E-3</v>
      </c>
      <c r="D73" s="7">
        <f t="shared" si="13"/>
        <v>-21949.999999999996</v>
      </c>
      <c r="E73" s="7">
        <f t="shared" si="14"/>
        <v>21949.996500000001</v>
      </c>
      <c r="F73" s="8">
        <f t="shared" si="10"/>
        <v>-21949.999999999996</v>
      </c>
      <c r="G73" s="9">
        <f t="shared" si="11"/>
        <v>-3.4999999952560756E-3</v>
      </c>
    </row>
    <row r="74" spans="2:7" x14ac:dyDescent="0.2">
      <c r="B74" s="5">
        <v>0.01</v>
      </c>
      <c r="C74" s="6">
        <f t="shared" si="12"/>
        <v>0.01</v>
      </c>
      <c r="D74" s="7">
        <f t="shared" si="13"/>
        <v>-43899.999999999993</v>
      </c>
      <c r="E74" s="7">
        <f t="shared" si="14"/>
        <v>43899.993000000002</v>
      </c>
      <c r="F74" s="8">
        <f t="shared" si="10"/>
        <v>-43899.999999999993</v>
      </c>
      <c r="G74" s="9">
        <f t="shared" si="11"/>
        <v>-6.9999999905121513E-3</v>
      </c>
    </row>
    <row r="75" spans="2:7" x14ac:dyDescent="0.2">
      <c r="B75" s="5">
        <v>1.4999999999999999E-2</v>
      </c>
      <c r="C75" s="6">
        <f t="shared" si="12"/>
        <v>1.4999999999999999E-2</v>
      </c>
      <c r="D75" s="7">
        <f t="shared" si="13"/>
        <v>-65849.999999999985</v>
      </c>
      <c r="E75" s="7">
        <f t="shared" si="14"/>
        <v>65849.989499999996</v>
      </c>
      <c r="F75" s="8">
        <f t="shared" si="10"/>
        <v>-65849.999999999985</v>
      </c>
      <c r="G75" s="9">
        <f t="shared" si="11"/>
        <v>-1.0499999989406206E-2</v>
      </c>
    </row>
    <row r="76" spans="2:7" x14ac:dyDescent="0.2">
      <c r="B76" s="5">
        <v>0.02</v>
      </c>
      <c r="C76" s="6">
        <f t="shared" si="12"/>
        <v>0.02</v>
      </c>
      <c r="D76" s="7">
        <f t="shared" si="13"/>
        <v>-87799.999999999985</v>
      </c>
      <c r="E76" s="7">
        <f t="shared" si="14"/>
        <v>87799.986000000004</v>
      </c>
      <c r="F76" s="8">
        <f t="shared" si="10"/>
        <v>-87799.999999999985</v>
      </c>
      <c r="G76" s="9">
        <f t="shared" si="11"/>
        <v>-1.3999999981024303E-2</v>
      </c>
    </row>
    <row r="77" spans="2:7" x14ac:dyDescent="0.2">
      <c r="B77" s="5">
        <v>2.5000000000000001E-2</v>
      </c>
      <c r="C77" s="6">
        <f t="shared" si="12"/>
        <v>2.5000000000000001E-2</v>
      </c>
      <c r="D77" s="7">
        <f t="shared" si="13"/>
        <v>-109750</v>
      </c>
      <c r="E77" s="7">
        <f t="shared" si="14"/>
        <v>109749.98250000001</v>
      </c>
      <c r="F77" s="8">
        <f t="shared" si="10"/>
        <v>-109750</v>
      </c>
      <c r="G77" s="9">
        <f t="shared" si="11"/>
        <v>-1.7499999987194315E-2</v>
      </c>
    </row>
    <row r="78" spans="2:7" x14ac:dyDescent="0.2">
      <c r="B78" s="5">
        <v>0.03</v>
      </c>
      <c r="C78" s="6">
        <f>B78</f>
        <v>0.03</v>
      </c>
      <c r="D78" s="7">
        <f>-($E$35*C78)*$D$56</f>
        <v>-131699.99999999997</v>
      </c>
      <c r="E78" s="7">
        <f>-($E$36*C78)*$D$59</f>
        <v>131699.97899999999</v>
      </c>
      <c r="F78" s="8">
        <f t="shared" si="10"/>
        <v>-131699.99999999997</v>
      </c>
      <c r="G78" s="9">
        <f t="shared" si="11"/>
        <v>-2.0999999978812411E-2</v>
      </c>
    </row>
    <row r="79" spans="2:7" x14ac:dyDescent="0.2">
      <c r="B79" s="26" t="s">
        <v>67</v>
      </c>
      <c r="C79" s="27"/>
      <c r="D79" s="22"/>
      <c r="E79" s="22"/>
      <c r="F79" s="28"/>
      <c r="G79" s="22"/>
    </row>
    <row r="80" spans="2:7" x14ac:dyDescent="0.2">
      <c r="B80" s="26" t="s">
        <v>68</v>
      </c>
      <c r="C80" s="27"/>
      <c r="D80" s="22"/>
      <c r="E80" s="22"/>
      <c r="F80" s="28"/>
      <c r="G80" s="22"/>
    </row>
    <row r="81" spans="2:6" x14ac:dyDescent="0.2">
      <c r="C81" s="27"/>
      <c r="D81" s="22"/>
      <c r="E81" s="22"/>
      <c r="F81" s="28"/>
    </row>
    <row r="84" spans="2:6" x14ac:dyDescent="0.2">
      <c r="B84" s="12" t="s">
        <v>64</v>
      </c>
    </row>
    <row r="85" spans="2:6" x14ac:dyDescent="0.2">
      <c r="B85" s="12" t="s">
        <v>65</v>
      </c>
    </row>
    <row r="86" spans="2:6" x14ac:dyDescent="0.2">
      <c r="B86" s="12" t="s">
        <v>66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1AA0-9EBB-9645-A041-3A3159A1D9D4}">
  <dimension ref="B2:J84"/>
  <sheetViews>
    <sheetView zoomScale="110" zoomScaleNormal="110" workbookViewId="0">
      <selection activeCell="J24" sqref="J24"/>
    </sheetView>
  </sheetViews>
  <sheetFormatPr baseColWidth="10" defaultRowHeight="16" x14ac:dyDescent="0.2"/>
  <cols>
    <col min="1" max="1" width="10.83203125" style="12"/>
    <col min="2" max="3" width="14.83203125" style="12" customWidth="1"/>
    <col min="4" max="5" width="16.33203125" style="12" customWidth="1"/>
    <col min="6" max="26" width="14.83203125" style="12" customWidth="1"/>
    <col min="27" max="16384" width="10.83203125" style="12"/>
  </cols>
  <sheetData>
    <row r="2" spans="2:7" ht="20" x14ac:dyDescent="0.2">
      <c r="B2" s="1" t="s">
        <v>84</v>
      </c>
    </row>
    <row r="4" spans="2:7" x14ac:dyDescent="0.2">
      <c r="B4" s="12" t="s">
        <v>33</v>
      </c>
      <c r="C4" s="13" t="s">
        <v>1</v>
      </c>
      <c r="E4" s="12" t="s">
        <v>36</v>
      </c>
      <c r="F4" s="13" t="s">
        <v>1</v>
      </c>
    </row>
    <row r="5" spans="2:7" x14ac:dyDescent="0.2">
      <c r="B5" s="12" t="s">
        <v>2</v>
      </c>
      <c r="C5" s="12">
        <v>1000</v>
      </c>
      <c r="E5" s="12" t="s">
        <v>2</v>
      </c>
      <c r="F5" s="12">
        <v>1000</v>
      </c>
    </row>
    <row r="6" spans="2:7" x14ac:dyDescent="0.2">
      <c r="B6" s="12" t="s">
        <v>3</v>
      </c>
      <c r="C6" s="24">
        <v>0.05</v>
      </c>
      <c r="E6" s="12" t="s">
        <v>3</v>
      </c>
      <c r="F6" s="24">
        <v>0.04</v>
      </c>
    </row>
    <row r="7" spans="2:7" x14ac:dyDescent="0.2">
      <c r="B7" s="12" t="s">
        <v>5</v>
      </c>
      <c r="C7" s="12">
        <v>5</v>
      </c>
      <c r="E7" s="12" t="s">
        <v>5</v>
      </c>
      <c r="F7" s="12">
        <v>10</v>
      </c>
    </row>
    <row r="8" spans="2:7" x14ac:dyDescent="0.2">
      <c r="B8" s="12" t="s">
        <v>10</v>
      </c>
      <c r="C8" s="25">
        <f>'Bond Valuation'!H9</f>
        <v>3.8800000000000001E-2</v>
      </c>
      <c r="E8" s="12" t="s">
        <v>10</v>
      </c>
      <c r="F8" s="25">
        <f>'Bond Valuation'!H10</f>
        <v>4.2700000000000002E-2</v>
      </c>
    </row>
    <row r="9" spans="2:7" x14ac:dyDescent="0.2">
      <c r="B9" s="12" t="s">
        <v>34</v>
      </c>
      <c r="C9" s="12">
        <v>1</v>
      </c>
      <c r="E9" s="12" t="s">
        <v>34</v>
      </c>
      <c r="F9" s="12">
        <v>1</v>
      </c>
    </row>
    <row r="10" spans="2:7" x14ac:dyDescent="0.2">
      <c r="B10" s="12" t="s">
        <v>7</v>
      </c>
      <c r="C10" s="12">
        <f>C5*C6</f>
        <v>50</v>
      </c>
      <c r="E10" s="12" t="s">
        <v>7</v>
      </c>
      <c r="F10" s="12">
        <f>F5*F6</f>
        <v>40</v>
      </c>
    </row>
    <row r="12" spans="2:7" x14ac:dyDescent="0.2">
      <c r="B12" s="19" t="s">
        <v>0</v>
      </c>
    </row>
    <row r="13" spans="2:7" x14ac:dyDescent="0.2">
      <c r="B13" s="2" t="s">
        <v>9</v>
      </c>
      <c r="C13" s="2" t="s">
        <v>18</v>
      </c>
      <c r="D13" s="2" t="s">
        <v>19</v>
      </c>
      <c r="E13" s="2" t="s">
        <v>20</v>
      </c>
      <c r="F13" s="2" t="s">
        <v>73</v>
      </c>
      <c r="G13" s="4" t="s">
        <v>72</v>
      </c>
    </row>
    <row r="14" spans="2:7" x14ac:dyDescent="0.2">
      <c r="B14" s="10">
        <v>1</v>
      </c>
      <c r="C14" s="11">
        <f>$C$10</f>
        <v>50</v>
      </c>
      <c r="D14" s="6">
        <f>1/(1+$C$8)^B14</f>
        <v>0.9626492106276473</v>
      </c>
      <c r="E14" s="11">
        <f>C14*D14</f>
        <v>48.132460531382364</v>
      </c>
      <c r="F14" s="11">
        <f>B14*E14</f>
        <v>48.132460531382364</v>
      </c>
      <c r="G14" s="22">
        <f>B14*(B14+1)*E14</f>
        <v>96.264921062764728</v>
      </c>
    </row>
    <row r="15" spans="2:7" x14ac:dyDescent="0.2">
      <c r="B15" s="10">
        <v>2</v>
      </c>
      <c r="C15" s="11">
        <f t="shared" ref="C15:C17" si="0">$C$10</f>
        <v>50</v>
      </c>
      <c r="D15" s="6">
        <f t="shared" ref="D15:D18" si="1">1/(1+$C$8)^B15</f>
        <v>0.92669350272203244</v>
      </c>
      <c r="E15" s="11">
        <f t="shared" ref="E15:E18" si="2">C15*D15</f>
        <v>46.334675136101623</v>
      </c>
      <c r="F15" s="11">
        <f t="shared" ref="F15:F18" si="3">B15*E15</f>
        <v>92.669350272203246</v>
      </c>
      <c r="G15" s="22">
        <f t="shared" ref="G15:G18" si="4">B15*(B15+1)*E15</f>
        <v>278.00805081660974</v>
      </c>
    </row>
    <row r="16" spans="2:7" x14ac:dyDescent="0.2">
      <c r="B16" s="10">
        <v>3</v>
      </c>
      <c r="C16" s="11">
        <f t="shared" si="0"/>
        <v>50</v>
      </c>
      <c r="D16" s="6">
        <f t="shared" si="1"/>
        <v>0.89208076888913401</v>
      </c>
      <c r="E16" s="11">
        <f t="shared" si="2"/>
        <v>44.604038444456698</v>
      </c>
      <c r="F16" s="11">
        <f t="shared" si="3"/>
        <v>133.81211533337009</v>
      </c>
      <c r="G16" s="22">
        <f t="shared" si="4"/>
        <v>535.24846133348035</v>
      </c>
    </row>
    <row r="17" spans="2:9" x14ac:dyDescent="0.2">
      <c r="B17" s="10">
        <v>4</v>
      </c>
      <c r="C17" s="11">
        <f t="shared" si="0"/>
        <v>50</v>
      </c>
      <c r="D17" s="6">
        <f t="shared" si="1"/>
        <v>0.85876084798722951</v>
      </c>
      <c r="E17" s="11">
        <f t="shared" si="2"/>
        <v>42.938042399361478</v>
      </c>
      <c r="F17" s="11">
        <f t="shared" si="3"/>
        <v>171.75216959744591</v>
      </c>
      <c r="G17" s="22">
        <f t="shared" si="4"/>
        <v>858.76084798722957</v>
      </c>
    </row>
    <row r="18" spans="2:9" x14ac:dyDescent="0.2">
      <c r="B18" s="10">
        <v>5</v>
      </c>
      <c r="C18" s="11">
        <f>$C$10+C5</f>
        <v>1050</v>
      </c>
      <c r="D18" s="6">
        <f t="shared" si="1"/>
        <v>0.82668545243283564</v>
      </c>
      <c r="E18" s="11">
        <f t="shared" si="2"/>
        <v>868.01972505447748</v>
      </c>
      <c r="F18" s="11">
        <f t="shared" si="3"/>
        <v>4340.0986252723869</v>
      </c>
      <c r="G18" s="22">
        <f t="shared" si="4"/>
        <v>26040.591751634325</v>
      </c>
    </row>
    <row r="20" spans="2:9" x14ac:dyDescent="0.2">
      <c r="B20" s="19" t="s">
        <v>39</v>
      </c>
    </row>
    <row r="21" spans="2:9" x14ac:dyDescent="0.2">
      <c r="B21" s="2" t="s">
        <v>9</v>
      </c>
      <c r="C21" s="2" t="s">
        <v>18</v>
      </c>
      <c r="D21" s="2" t="s">
        <v>19</v>
      </c>
      <c r="E21" s="2" t="s">
        <v>20</v>
      </c>
      <c r="F21" s="2" t="s">
        <v>73</v>
      </c>
      <c r="G21" s="4" t="s">
        <v>72</v>
      </c>
    </row>
    <row r="22" spans="2:9" x14ac:dyDescent="0.2">
      <c r="B22" s="10">
        <v>1</v>
      </c>
      <c r="C22" s="11">
        <f>$F$10</f>
        <v>40</v>
      </c>
      <c r="D22" s="6">
        <f>1/(1+$F$8)^B22</f>
        <v>0.95904862376522493</v>
      </c>
      <c r="E22" s="11">
        <f>C22*D22</f>
        <v>38.361944950609001</v>
      </c>
      <c r="F22" s="11">
        <f>B22*E22</f>
        <v>38.361944950609001</v>
      </c>
      <c r="G22" s="22">
        <f>B22*(B22+1)*E22</f>
        <v>76.723889901218001</v>
      </c>
    </row>
    <row r="23" spans="2:9" x14ac:dyDescent="0.2">
      <c r="B23" s="10">
        <v>2</v>
      </c>
      <c r="C23" s="11">
        <f t="shared" ref="C23:C30" si="5">$F$10</f>
        <v>40</v>
      </c>
      <c r="D23" s="6">
        <f t="shared" ref="D23:D31" si="6">1/(1+$F$8)^B23</f>
        <v>0.91977426274597207</v>
      </c>
      <c r="E23" s="11">
        <f t="shared" ref="E23:E31" si="7">C23*D23</f>
        <v>36.790970509838886</v>
      </c>
      <c r="F23" s="11">
        <f t="shared" ref="F23:F31" si="8">B23*E23</f>
        <v>73.581941019677771</v>
      </c>
      <c r="G23" s="22">
        <f t="shared" ref="G23:G31" si="9">B23*(B23+1)*E23</f>
        <v>220.74582305903331</v>
      </c>
    </row>
    <row r="24" spans="2:9" x14ac:dyDescent="0.2">
      <c r="B24" s="10">
        <v>3</v>
      </c>
      <c r="C24" s="11">
        <f t="shared" si="5"/>
        <v>40</v>
      </c>
      <c r="D24" s="6">
        <f t="shared" si="6"/>
        <v>0.88210824086119877</v>
      </c>
      <c r="E24" s="11">
        <f t="shared" si="7"/>
        <v>35.28432963444795</v>
      </c>
      <c r="F24" s="11">
        <f t="shared" si="8"/>
        <v>105.85298890334386</v>
      </c>
      <c r="G24" s="22">
        <f t="shared" si="9"/>
        <v>423.41195561337543</v>
      </c>
    </row>
    <row r="25" spans="2:9" x14ac:dyDescent="0.2">
      <c r="B25" s="10">
        <v>4</v>
      </c>
      <c r="C25" s="11">
        <f t="shared" si="5"/>
        <v>40</v>
      </c>
      <c r="D25" s="6">
        <f t="shared" si="6"/>
        <v>0.84598469440989632</v>
      </c>
      <c r="E25" s="11">
        <f t="shared" si="7"/>
        <v>33.839387776395853</v>
      </c>
      <c r="F25" s="11">
        <f t="shared" si="8"/>
        <v>135.35755110558341</v>
      </c>
      <c r="G25" s="22">
        <f t="shared" si="9"/>
        <v>676.78775552791706</v>
      </c>
      <c r="I25" s="12" t="s">
        <v>74</v>
      </c>
    </row>
    <row r="26" spans="2:9" x14ac:dyDescent="0.2">
      <c r="B26" s="10">
        <v>5</v>
      </c>
      <c r="C26" s="11">
        <f t="shared" si="5"/>
        <v>40</v>
      </c>
      <c r="D26" s="6">
        <f t="shared" si="6"/>
        <v>0.81134045690025547</v>
      </c>
      <c r="E26" s="11">
        <f t="shared" si="7"/>
        <v>32.453618276010218</v>
      </c>
      <c r="F26" s="11">
        <f t="shared" si="8"/>
        <v>162.26809138005109</v>
      </c>
      <c r="G26" s="22">
        <f t="shared" si="9"/>
        <v>973.60854828030654</v>
      </c>
    </row>
    <row r="27" spans="2:9" x14ac:dyDescent="0.2">
      <c r="B27" s="10">
        <v>6</v>
      </c>
      <c r="C27" s="11">
        <f t="shared" si="5"/>
        <v>40</v>
      </c>
      <c r="D27" s="6">
        <f t="shared" si="6"/>
        <v>0.77811494859523878</v>
      </c>
      <c r="E27" s="11">
        <f t="shared" si="7"/>
        <v>31.124597943809551</v>
      </c>
      <c r="F27" s="11">
        <f t="shared" si="8"/>
        <v>186.74758766285731</v>
      </c>
      <c r="G27" s="22">
        <f t="shared" si="9"/>
        <v>1307.2331136400012</v>
      </c>
    </row>
    <row r="28" spans="2:9" x14ac:dyDescent="0.2">
      <c r="B28" s="10">
        <v>7</v>
      </c>
      <c r="C28" s="11">
        <f t="shared" si="5"/>
        <v>40</v>
      </c>
      <c r="D28" s="6">
        <f t="shared" si="6"/>
        <v>0.74625007058141257</v>
      </c>
      <c r="E28" s="11">
        <f t="shared" si="7"/>
        <v>29.850002823256503</v>
      </c>
      <c r="F28" s="11">
        <f t="shared" si="8"/>
        <v>208.95001976279553</v>
      </c>
      <c r="G28" s="22">
        <f t="shared" si="9"/>
        <v>1671.6001581023643</v>
      </c>
    </row>
    <row r="29" spans="2:9" x14ac:dyDescent="0.2">
      <c r="B29" s="10">
        <v>8</v>
      </c>
      <c r="C29" s="11">
        <f t="shared" si="5"/>
        <v>40</v>
      </c>
      <c r="D29" s="6">
        <f t="shared" si="6"/>
        <v>0.71569010317580573</v>
      </c>
      <c r="E29" s="11">
        <f t="shared" si="7"/>
        <v>28.627604127032228</v>
      </c>
      <c r="F29" s="11">
        <f t="shared" si="8"/>
        <v>229.02083301625782</v>
      </c>
      <c r="G29" s="22">
        <f t="shared" si="9"/>
        <v>2061.1874971463203</v>
      </c>
    </row>
    <row r="30" spans="2:9" x14ac:dyDescent="0.2">
      <c r="B30" s="10">
        <v>9</v>
      </c>
      <c r="C30" s="11">
        <f t="shared" si="5"/>
        <v>40</v>
      </c>
      <c r="D30" s="6">
        <f t="shared" si="6"/>
        <v>0.68638160849314833</v>
      </c>
      <c r="E30" s="11">
        <f t="shared" si="7"/>
        <v>27.455264339725932</v>
      </c>
      <c r="F30" s="11">
        <f t="shared" si="8"/>
        <v>247.0973790575334</v>
      </c>
      <c r="G30" s="22">
        <f t="shared" si="9"/>
        <v>2470.9737905753341</v>
      </c>
    </row>
    <row r="31" spans="2:9" x14ac:dyDescent="0.2">
      <c r="B31" s="10">
        <v>10</v>
      </c>
      <c r="C31" s="11">
        <f>$F$10+F5</f>
        <v>1040</v>
      </c>
      <c r="D31" s="6">
        <f t="shared" si="6"/>
        <v>0.65827333700311541</v>
      </c>
      <c r="E31" s="11">
        <f t="shared" si="7"/>
        <v>684.60427048324004</v>
      </c>
      <c r="F31" s="11">
        <f t="shared" si="8"/>
        <v>6846.0427048324</v>
      </c>
      <c r="G31" s="22">
        <f t="shared" si="9"/>
        <v>75306.469753156402</v>
      </c>
    </row>
    <row r="34" spans="2:6" x14ac:dyDescent="0.2">
      <c r="B34" s="2" t="s">
        <v>75</v>
      </c>
      <c r="C34" s="2" t="s">
        <v>27</v>
      </c>
      <c r="D34" s="2" t="s">
        <v>76</v>
      </c>
      <c r="E34" s="2" t="s">
        <v>38</v>
      </c>
      <c r="F34" s="4" t="s">
        <v>77</v>
      </c>
    </row>
    <row r="35" spans="2:6" x14ac:dyDescent="0.2">
      <c r="B35" s="10" t="s">
        <v>41</v>
      </c>
      <c r="C35" s="11">
        <f>SUM(E14:E18)</f>
        <v>1050.0289415657796</v>
      </c>
      <c r="D35" s="11">
        <f>SUM(F14:F18)/C35</f>
        <v>4.5584121842101988</v>
      </c>
      <c r="E35" s="11">
        <f>ROUND(D35/(1+C8),2)</f>
        <v>4.3899999999999997</v>
      </c>
      <c r="F35" s="9">
        <f>SUM(G14:G18)/(C35*(1+C8)^2)</f>
        <v>24.542469130246062</v>
      </c>
    </row>
    <row r="36" spans="2:6" x14ac:dyDescent="0.2">
      <c r="B36" s="10" t="s">
        <v>42</v>
      </c>
      <c r="C36" s="11">
        <f>SUM(E22:E31)</f>
        <v>978.39199086436611</v>
      </c>
      <c r="D36" s="11">
        <f>SUM(F22:F31)/C36</f>
        <v>8.4151149217987449</v>
      </c>
      <c r="E36" s="11">
        <f>ROUND(D36/(1+F8),2)</f>
        <v>8.07</v>
      </c>
      <c r="F36" s="9">
        <f>SUM(G22:G31)/(C36*(1+F8)^2)</f>
        <v>80.084887612603936</v>
      </c>
    </row>
    <row r="37" spans="2:6" x14ac:dyDescent="0.2">
      <c r="B37" s="13"/>
      <c r="C37" s="9"/>
      <c r="D37" s="9"/>
      <c r="E37" s="9"/>
      <c r="F37" s="9"/>
    </row>
    <row r="38" spans="2:6" x14ac:dyDescent="0.2">
      <c r="B38" s="12" t="s">
        <v>43</v>
      </c>
    </row>
    <row r="39" spans="2:6" x14ac:dyDescent="0.2">
      <c r="B39" s="12" t="s">
        <v>44</v>
      </c>
      <c r="D39" s="9">
        <v>1000000</v>
      </c>
      <c r="F39" s="12" t="s">
        <v>45</v>
      </c>
    </row>
    <row r="40" spans="2:6" x14ac:dyDescent="0.2">
      <c r="B40" s="13"/>
      <c r="C40" s="9"/>
      <c r="D40" s="9"/>
      <c r="E40" s="9"/>
      <c r="F40" s="9"/>
    </row>
    <row r="41" spans="2:6" x14ac:dyDescent="0.2">
      <c r="B41" s="13"/>
      <c r="C41" s="9"/>
      <c r="D41" s="9"/>
      <c r="E41" s="9"/>
      <c r="F41" s="9"/>
    </row>
    <row r="42" spans="2:6" x14ac:dyDescent="0.2">
      <c r="B42" s="19" t="s">
        <v>46</v>
      </c>
    </row>
    <row r="43" spans="2:6" x14ac:dyDescent="0.2">
      <c r="B43" s="12" t="s">
        <v>69</v>
      </c>
    </row>
    <row r="44" spans="2:6" x14ac:dyDescent="0.2">
      <c r="B44" s="12" t="s">
        <v>47</v>
      </c>
    </row>
    <row r="45" spans="2:6" x14ac:dyDescent="0.2">
      <c r="B45" s="12" t="s">
        <v>48</v>
      </c>
      <c r="C45" s="9">
        <f>D39*E35</f>
        <v>4390000</v>
      </c>
    </row>
    <row r="47" spans="2:6" x14ac:dyDescent="0.2">
      <c r="B47" s="12" t="s">
        <v>49</v>
      </c>
    </row>
    <row r="49" spans="2:6" ht="18" x14ac:dyDescent="0.25">
      <c r="B49" s="12" t="s">
        <v>88</v>
      </c>
      <c r="C49" s="22">
        <f>ROUND(-(D39*E35)/E36,0)</f>
        <v>-543990</v>
      </c>
    </row>
    <row r="50" spans="2:6" x14ac:dyDescent="0.2">
      <c r="B50" s="12" t="s">
        <v>50</v>
      </c>
    </row>
    <row r="51" spans="2:6" x14ac:dyDescent="0.2">
      <c r="B51" s="12" t="s">
        <v>51</v>
      </c>
      <c r="F51" s="22">
        <f>C49/C36</f>
        <v>-556.00414259259105</v>
      </c>
    </row>
    <row r="52" spans="2:6" x14ac:dyDescent="0.2">
      <c r="F52" s="22"/>
    </row>
    <row r="54" spans="2:6" x14ac:dyDescent="0.2">
      <c r="B54" s="19" t="s">
        <v>53</v>
      </c>
    </row>
    <row r="55" spans="2:6" x14ac:dyDescent="0.2">
      <c r="B55" s="12" t="s">
        <v>54</v>
      </c>
      <c r="D55" s="22">
        <f>D39</f>
        <v>1000000</v>
      </c>
    </row>
    <row r="56" spans="2:6" x14ac:dyDescent="0.2">
      <c r="B56" s="12" t="s">
        <v>55</v>
      </c>
      <c r="D56" s="22">
        <f>E35</f>
        <v>4.3899999999999997</v>
      </c>
    </row>
    <row r="57" spans="2:6" x14ac:dyDescent="0.2">
      <c r="B57" s="12" t="s">
        <v>56</v>
      </c>
      <c r="D57" s="22">
        <f>E36</f>
        <v>8.07</v>
      </c>
    </row>
    <row r="58" spans="2:6" x14ac:dyDescent="0.2">
      <c r="B58" s="12" t="s">
        <v>57</v>
      </c>
      <c r="D58" s="22">
        <f>C49</f>
        <v>-543990</v>
      </c>
    </row>
    <row r="59" spans="2:6" x14ac:dyDescent="0.2">
      <c r="B59" s="12" t="s">
        <v>52</v>
      </c>
      <c r="D59" s="22">
        <f>C36</f>
        <v>978.39199086436611</v>
      </c>
    </row>
    <row r="60" spans="2:6" x14ac:dyDescent="0.2">
      <c r="B60" s="12" t="s">
        <v>58</v>
      </c>
      <c r="D60" s="22">
        <f>-D58/D59</f>
        <v>556.00414259259105</v>
      </c>
    </row>
    <row r="61" spans="2:6" x14ac:dyDescent="0.2">
      <c r="B61" s="13"/>
      <c r="C61" s="9"/>
      <c r="D61" s="9"/>
      <c r="E61" s="9"/>
      <c r="F61" s="9"/>
    </row>
    <row r="64" spans="2:6" x14ac:dyDescent="0.2">
      <c r="B64" s="19" t="s">
        <v>78</v>
      </c>
    </row>
    <row r="65" spans="2:10" ht="18" x14ac:dyDescent="0.2">
      <c r="B65" s="2" t="s">
        <v>60</v>
      </c>
      <c r="C65" s="2" t="s">
        <v>79</v>
      </c>
      <c r="D65" s="3" t="s">
        <v>94</v>
      </c>
      <c r="E65" s="2" t="s">
        <v>80</v>
      </c>
      <c r="F65" s="2" t="s">
        <v>81</v>
      </c>
      <c r="G65" s="2" t="s">
        <v>82</v>
      </c>
      <c r="H65" s="2" t="s">
        <v>83</v>
      </c>
      <c r="I65" s="3" t="s">
        <v>71</v>
      </c>
      <c r="J65" s="30" t="s">
        <v>70</v>
      </c>
    </row>
    <row r="66" spans="2:10" x14ac:dyDescent="0.2">
      <c r="B66" s="5">
        <v>-0.03</v>
      </c>
      <c r="C66" s="6">
        <f>B66</f>
        <v>-0.03</v>
      </c>
      <c r="D66" s="6">
        <f>C66^2</f>
        <v>8.9999999999999998E-4</v>
      </c>
      <c r="E66" s="6">
        <f>-($E$35*C66)+(0.5*$F$35*D66)</f>
        <v>0.14274411110861071</v>
      </c>
      <c r="F66" s="11">
        <f>E66*$D$39</f>
        <v>142744.1111086107</v>
      </c>
      <c r="G66" s="11">
        <f>-($E$36*C66)+(0.5*$F$36*D66)</f>
        <v>0.27813819942567175</v>
      </c>
      <c r="H66" s="11">
        <f>G66*$D$58</f>
        <v>-151304.39910557118</v>
      </c>
      <c r="I66" s="31">
        <f>SUM(F66,H66)</f>
        <v>-8560.2879969604837</v>
      </c>
      <c r="J66" s="9">
        <f>F66</f>
        <v>142744.1111086107</v>
      </c>
    </row>
    <row r="67" spans="2:10" x14ac:dyDescent="0.2">
      <c r="B67" s="5">
        <v>-2.5000000000000001E-2</v>
      </c>
      <c r="C67" s="6">
        <f t="shared" ref="C67:C77" si="10">B67</f>
        <v>-2.5000000000000001E-2</v>
      </c>
      <c r="D67" s="6">
        <f t="shared" ref="D67:D78" si="11">C67^2</f>
        <v>6.2500000000000012E-4</v>
      </c>
      <c r="E67" s="6">
        <f t="shared" ref="E67:E78" si="12">-($E$35*C67)+(0.5*$F$35*D67)</f>
        <v>0.11741952160320189</v>
      </c>
      <c r="F67" s="11">
        <f t="shared" ref="F67:F78" si="13">E67*$D$39</f>
        <v>117419.52160320189</v>
      </c>
      <c r="G67" s="11">
        <f t="shared" ref="G67:G78" si="14">-($E$36*C67)+(0.5*$F$36*D67)</f>
        <v>0.22677652737893875</v>
      </c>
      <c r="H67" s="11">
        <f t="shared" ref="H67:H78" si="15">G67*$D$58</f>
        <v>-123364.1631288689</v>
      </c>
      <c r="I67" s="31">
        <f t="shared" ref="I67:I78" si="16">SUM(F67,H67)</f>
        <v>-5944.6415256670007</v>
      </c>
      <c r="J67" s="9">
        <f t="shared" ref="J67:J78" si="17">F67</f>
        <v>117419.52160320189</v>
      </c>
    </row>
    <row r="68" spans="2:10" x14ac:dyDescent="0.2">
      <c r="B68" s="5">
        <v>-0.02</v>
      </c>
      <c r="C68" s="6">
        <f t="shared" si="10"/>
        <v>-0.02</v>
      </c>
      <c r="D68" s="6">
        <f t="shared" si="11"/>
        <v>4.0000000000000002E-4</v>
      </c>
      <c r="E68" s="6">
        <f t="shared" si="12"/>
        <v>9.2708493826049204E-2</v>
      </c>
      <c r="F68" s="11">
        <f t="shared" si="13"/>
        <v>92708.493826049205</v>
      </c>
      <c r="G68" s="11">
        <f t="shared" si="14"/>
        <v>0.17741697752252081</v>
      </c>
      <c r="H68" s="11">
        <f t="shared" si="15"/>
        <v>-96513.061602476097</v>
      </c>
      <c r="I68" s="31">
        <f t="shared" si="16"/>
        <v>-3804.5677764268912</v>
      </c>
      <c r="J68" s="9">
        <f t="shared" si="17"/>
        <v>92708.493826049205</v>
      </c>
    </row>
    <row r="69" spans="2:10" x14ac:dyDescent="0.2">
      <c r="B69" s="5">
        <v>-1.4999999999999999E-2</v>
      </c>
      <c r="C69" s="6">
        <f t="shared" si="10"/>
        <v>-1.4999999999999999E-2</v>
      </c>
      <c r="D69" s="6">
        <f t="shared" si="11"/>
        <v>2.2499999999999999E-4</v>
      </c>
      <c r="E69" s="6">
        <f t="shared" si="12"/>
        <v>6.8611027777152667E-2</v>
      </c>
      <c r="F69" s="11">
        <f t="shared" si="13"/>
        <v>68611.02777715266</v>
      </c>
      <c r="G69" s="11">
        <f t="shared" si="14"/>
        <v>0.13005954985641793</v>
      </c>
      <c r="H69" s="11">
        <f t="shared" si="15"/>
        <v>-70751.094526392786</v>
      </c>
      <c r="I69" s="31">
        <f t="shared" si="16"/>
        <v>-2140.0667492401262</v>
      </c>
      <c r="J69" s="9">
        <f t="shared" si="17"/>
        <v>68611.02777715266</v>
      </c>
    </row>
    <row r="70" spans="2:10" x14ac:dyDescent="0.2">
      <c r="B70" s="5">
        <v>-0.01</v>
      </c>
      <c r="C70" s="6">
        <f t="shared" si="10"/>
        <v>-0.01</v>
      </c>
      <c r="D70" s="6">
        <f t="shared" si="11"/>
        <v>1E-4</v>
      </c>
      <c r="E70" s="6">
        <f t="shared" si="12"/>
        <v>4.5127123456512298E-2</v>
      </c>
      <c r="F70" s="11">
        <f t="shared" si="13"/>
        <v>45127.123456512301</v>
      </c>
      <c r="G70" s="11">
        <f t="shared" si="14"/>
        <v>8.4704244380630206E-2</v>
      </c>
      <c r="H70" s="11">
        <f t="shared" si="15"/>
        <v>-46078.261900619029</v>
      </c>
      <c r="I70" s="31">
        <f t="shared" si="16"/>
        <v>-951.13844410672755</v>
      </c>
      <c r="J70" s="9">
        <f t="shared" si="17"/>
        <v>45127.123456512301</v>
      </c>
    </row>
    <row r="71" spans="2:10" x14ac:dyDescent="0.2">
      <c r="B71" s="5">
        <v>-5.0000000000000001E-3</v>
      </c>
      <c r="C71" s="6">
        <f t="shared" si="10"/>
        <v>-5.0000000000000001E-3</v>
      </c>
      <c r="D71" s="6">
        <f t="shared" si="11"/>
        <v>2.5000000000000001E-5</v>
      </c>
      <c r="E71" s="6">
        <f t="shared" si="12"/>
        <v>2.2256780864128071E-2</v>
      </c>
      <c r="F71" s="11">
        <f t="shared" si="13"/>
        <v>22256.780864128072</v>
      </c>
      <c r="G71" s="11">
        <f t="shared" si="14"/>
        <v>4.135106109515755E-2</v>
      </c>
      <c r="H71" s="11">
        <f t="shared" si="15"/>
        <v>-22494.563725154756</v>
      </c>
      <c r="I71" s="31">
        <f t="shared" si="16"/>
        <v>-237.78286102668426</v>
      </c>
      <c r="J71" s="9">
        <f t="shared" si="17"/>
        <v>22256.780864128072</v>
      </c>
    </row>
    <row r="72" spans="2:10" x14ac:dyDescent="0.2">
      <c r="B72" s="5">
        <v>0</v>
      </c>
      <c r="C72" s="6">
        <f t="shared" si="10"/>
        <v>0</v>
      </c>
      <c r="D72" s="6">
        <f t="shared" si="11"/>
        <v>0</v>
      </c>
      <c r="E72" s="6">
        <f t="shared" si="12"/>
        <v>0</v>
      </c>
      <c r="F72" s="11">
        <f t="shared" si="13"/>
        <v>0</v>
      </c>
      <c r="G72" s="11">
        <f t="shared" si="14"/>
        <v>0</v>
      </c>
      <c r="H72" s="11">
        <f t="shared" si="15"/>
        <v>0</v>
      </c>
      <c r="I72" s="31">
        <f t="shared" si="16"/>
        <v>0</v>
      </c>
      <c r="J72" s="9">
        <f t="shared" si="17"/>
        <v>0</v>
      </c>
    </row>
    <row r="73" spans="2:10" x14ac:dyDescent="0.2">
      <c r="B73" s="5">
        <v>5.0000000000000001E-3</v>
      </c>
      <c r="C73" s="6">
        <f t="shared" si="10"/>
        <v>5.0000000000000001E-3</v>
      </c>
      <c r="D73" s="6">
        <f t="shared" si="11"/>
        <v>2.5000000000000001E-5</v>
      </c>
      <c r="E73" s="6">
        <f t="shared" si="12"/>
        <v>-2.1643219135871923E-2</v>
      </c>
      <c r="F73" s="11">
        <f t="shared" si="13"/>
        <v>-21643.219135871925</v>
      </c>
      <c r="G73" s="11">
        <f t="shared" si="14"/>
        <v>-3.9348938904842458E-2</v>
      </c>
      <c r="H73" s="11">
        <f t="shared" si="15"/>
        <v>21405.42927484525</v>
      </c>
      <c r="I73" s="31">
        <f t="shared" si="16"/>
        <v>-237.78986102667477</v>
      </c>
      <c r="J73" s="9">
        <f t="shared" si="17"/>
        <v>-21643.219135871925</v>
      </c>
    </row>
    <row r="74" spans="2:10" x14ac:dyDescent="0.2">
      <c r="B74" s="5">
        <v>0.01</v>
      </c>
      <c r="C74" s="6">
        <f t="shared" si="10"/>
        <v>0.01</v>
      </c>
      <c r="D74" s="6">
        <f t="shared" si="11"/>
        <v>1E-4</v>
      </c>
      <c r="E74" s="6">
        <f t="shared" si="12"/>
        <v>-4.2672876543487691E-2</v>
      </c>
      <c r="F74" s="11">
        <f t="shared" si="13"/>
        <v>-42672.876543487691</v>
      </c>
      <c r="G74" s="11">
        <f t="shared" si="14"/>
        <v>-7.669575561936981E-2</v>
      </c>
      <c r="H74" s="11">
        <f t="shared" si="15"/>
        <v>41721.724099380983</v>
      </c>
      <c r="I74" s="31">
        <f t="shared" si="16"/>
        <v>-951.15244410670857</v>
      </c>
      <c r="J74" s="9">
        <f t="shared" si="17"/>
        <v>-42672.876543487691</v>
      </c>
    </row>
    <row r="75" spans="2:10" x14ac:dyDescent="0.2">
      <c r="B75" s="5">
        <v>1.4999999999999999E-2</v>
      </c>
      <c r="C75" s="6">
        <f t="shared" si="10"/>
        <v>1.4999999999999999E-2</v>
      </c>
      <c r="D75" s="6">
        <f t="shared" si="11"/>
        <v>2.2499999999999999E-4</v>
      </c>
      <c r="E75" s="6">
        <f t="shared" si="12"/>
        <v>-6.3088972222847317E-2</v>
      </c>
      <c r="F75" s="11">
        <f t="shared" si="13"/>
        <v>-63088.972222847318</v>
      </c>
      <c r="G75" s="11">
        <f t="shared" si="14"/>
        <v>-0.11204045014358206</v>
      </c>
      <c r="H75" s="11">
        <f t="shared" si="15"/>
        <v>60948.884473607206</v>
      </c>
      <c r="I75" s="31">
        <f t="shared" si="16"/>
        <v>-2140.0877492401123</v>
      </c>
      <c r="J75" s="9">
        <f t="shared" si="17"/>
        <v>-63088.972222847318</v>
      </c>
    </row>
    <row r="76" spans="2:10" x14ac:dyDescent="0.2">
      <c r="B76" s="5">
        <v>0.02</v>
      </c>
      <c r="C76" s="6">
        <f t="shared" si="10"/>
        <v>0.02</v>
      </c>
      <c r="D76" s="6">
        <f t="shared" si="11"/>
        <v>4.0000000000000002E-4</v>
      </c>
      <c r="E76" s="6">
        <f t="shared" si="12"/>
        <v>-8.2891506173950774E-2</v>
      </c>
      <c r="F76" s="11">
        <f t="shared" si="13"/>
        <v>-82891.50617395078</v>
      </c>
      <c r="G76" s="11">
        <f t="shared" si="14"/>
        <v>-0.14538302247747922</v>
      </c>
      <c r="H76" s="11">
        <f t="shared" si="15"/>
        <v>79086.910397523927</v>
      </c>
      <c r="I76" s="31">
        <f t="shared" si="16"/>
        <v>-3804.5957764268533</v>
      </c>
      <c r="J76" s="9">
        <f t="shared" si="17"/>
        <v>-82891.50617395078</v>
      </c>
    </row>
    <row r="77" spans="2:10" x14ac:dyDescent="0.2">
      <c r="B77" s="5">
        <v>2.5000000000000001E-2</v>
      </c>
      <c r="C77" s="6">
        <f t="shared" si="10"/>
        <v>2.5000000000000001E-2</v>
      </c>
      <c r="D77" s="6">
        <f t="shared" si="11"/>
        <v>6.2500000000000012E-4</v>
      </c>
      <c r="E77" s="6">
        <f t="shared" si="12"/>
        <v>-0.10208047839679811</v>
      </c>
      <c r="F77" s="11">
        <f t="shared" si="13"/>
        <v>-102080.47839679811</v>
      </c>
      <c r="G77" s="11">
        <f t="shared" si="14"/>
        <v>-0.17672347262106128</v>
      </c>
      <c r="H77" s="11">
        <f t="shared" si="15"/>
        <v>96135.801871131131</v>
      </c>
      <c r="I77" s="31">
        <f t="shared" si="16"/>
        <v>-5944.6765256669751</v>
      </c>
      <c r="J77" s="9">
        <f t="shared" si="17"/>
        <v>-102080.47839679811</v>
      </c>
    </row>
    <row r="78" spans="2:10" x14ac:dyDescent="0.2">
      <c r="B78" s="5">
        <v>0.03</v>
      </c>
      <c r="C78" s="6">
        <f>B78</f>
        <v>0.03</v>
      </c>
      <c r="D78" s="6">
        <f t="shared" si="11"/>
        <v>8.9999999999999998E-4</v>
      </c>
      <c r="E78" s="6">
        <f t="shared" si="12"/>
        <v>-0.12065588889138926</v>
      </c>
      <c r="F78" s="11">
        <f t="shared" si="13"/>
        <v>-120655.88889138926</v>
      </c>
      <c r="G78" s="11">
        <f t="shared" si="14"/>
        <v>-0.20606180057432824</v>
      </c>
      <c r="H78" s="11">
        <f t="shared" si="15"/>
        <v>112095.55889442882</v>
      </c>
      <c r="I78" s="31">
        <f t="shared" si="16"/>
        <v>-8560.3299969604413</v>
      </c>
      <c r="J78" s="9">
        <f t="shared" si="17"/>
        <v>-120655.88889138926</v>
      </c>
    </row>
    <row r="84" spans="2:2" x14ac:dyDescent="0.2">
      <c r="B84" s="12" t="s">
        <v>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3AC1-F1F1-3748-8A98-1C3CE9B0C28C}">
  <dimension ref="B2:E18"/>
  <sheetViews>
    <sheetView tabSelected="1" zoomScale="131" zoomScaleNormal="100" workbookViewId="0">
      <selection activeCell="B2" sqref="B2"/>
    </sheetView>
  </sheetViews>
  <sheetFormatPr baseColWidth="10" defaultRowHeight="16" x14ac:dyDescent="0.2"/>
  <cols>
    <col min="1" max="1" width="10.83203125" style="12"/>
    <col min="2" max="5" width="16.33203125" style="12" customWidth="1"/>
    <col min="6" max="26" width="14.83203125" style="12" customWidth="1"/>
    <col min="27" max="16384" width="10.83203125" style="12"/>
  </cols>
  <sheetData>
    <row r="2" spans="2:5" ht="20" x14ac:dyDescent="0.2">
      <c r="B2" s="1" t="s">
        <v>86</v>
      </c>
    </row>
    <row r="4" spans="2:5" x14ac:dyDescent="0.2">
      <c r="B4" s="10" t="s">
        <v>10</v>
      </c>
      <c r="C4" s="10" t="s">
        <v>91</v>
      </c>
      <c r="D4" s="10" t="s">
        <v>89</v>
      </c>
      <c r="E4" s="13" t="s">
        <v>90</v>
      </c>
    </row>
    <row r="5" spans="2:5" x14ac:dyDescent="0.2">
      <c r="B5" s="2" t="s">
        <v>93</v>
      </c>
      <c r="C5" s="2" t="s">
        <v>92</v>
      </c>
      <c r="D5" s="2" t="s">
        <v>71</v>
      </c>
      <c r="E5" s="4" t="s">
        <v>71</v>
      </c>
    </row>
    <row r="6" spans="2:5" x14ac:dyDescent="0.2">
      <c r="B6" s="5">
        <v>-0.03</v>
      </c>
      <c r="C6" s="11">
        <v>142744.1111086107</v>
      </c>
      <c r="D6" s="11">
        <v>2.0999999978812411E-2</v>
      </c>
      <c r="E6" s="9">
        <v>-8560.2879969604837</v>
      </c>
    </row>
    <row r="7" spans="2:5" x14ac:dyDescent="0.2">
      <c r="B7" s="5">
        <v>-2.5000000000000001E-2</v>
      </c>
      <c r="C7" s="11">
        <v>117419.52160320189</v>
      </c>
      <c r="D7" s="11">
        <v>1.7499999987194315E-2</v>
      </c>
      <c r="E7" s="9">
        <v>-5944.6415256670007</v>
      </c>
    </row>
    <row r="8" spans="2:5" x14ac:dyDescent="0.2">
      <c r="B8" s="5">
        <v>-0.02</v>
      </c>
      <c r="C8" s="11">
        <v>92708.493826049205</v>
      </c>
      <c r="D8" s="11">
        <v>1.3999999981024303E-2</v>
      </c>
      <c r="E8" s="9">
        <v>-3804.5677764268912</v>
      </c>
    </row>
    <row r="9" spans="2:5" x14ac:dyDescent="0.2">
      <c r="B9" s="5">
        <v>-1.4999999999999999E-2</v>
      </c>
      <c r="C9" s="11">
        <v>68611.02777715266</v>
      </c>
      <c r="D9" s="11">
        <v>1.0499999989406206E-2</v>
      </c>
      <c r="E9" s="9">
        <v>-2140.0667492401262</v>
      </c>
    </row>
    <row r="10" spans="2:5" x14ac:dyDescent="0.2">
      <c r="B10" s="5">
        <v>-0.01</v>
      </c>
      <c r="C10" s="11">
        <v>45127.123456512301</v>
      </c>
      <c r="D10" s="11">
        <v>6.9999999905121513E-3</v>
      </c>
      <c r="E10" s="9">
        <v>-951.13844410672755</v>
      </c>
    </row>
    <row r="11" spans="2:5" x14ac:dyDescent="0.2">
      <c r="B11" s="5">
        <v>-5.0000000000000001E-3</v>
      </c>
      <c r="C11" s="11">
        <v>22256.780864128072</v>
      </c>
      <c r="D11" s="11">
        <v>3.4999999952560756E-3</v>
      </c>
      <c r="E11" s="9">
        <v>-237.78286102668426</v>
      </c>
    </row>
    <row r="12" spans="2:5" x14ac:dyDescent="0.2">
      <c r="B12" s="5">
        <v>0</v>
      </c>
      <c r="C12" s="11">
        <v>0</v>
      </c>
      <c r="D12" s="11">
        <v>0</v>
      </c>
      <c r="E12" s="9">
        <v>0</v>
      </c>
    </row>
    <row r="13" spans="2:5" x14ac:dyDescent="0.2">
      <c r="B13" s="5">
        <v>5.0000000000000001E-3</v>
      </c>
      <c r="C13" s="11">
        <v>-21643.219135871925</v>
      </c>
      <c r="D13" s="11">
        <v>-3.4999999952560756E-3</v>
      </c>
      <c r="E13" s="9">
        <v>-237.78986102667477</v>
      </c>
    </row>
    <row r="14" spans="2:5" x14ac:dyDescent="0.2">
      <c r="B14" s="5">
        <v>0.01</v>
      </c>
      <c r="C14" s="11">
        <v>-42672.876543487691</v>
      </c>
      <c r="D14" s="11">
        <v>-6.9999999905121513E-3</v>
      </c>
      <c r="E14" s="9">
        <v>-951.15244410670857</v>
      </c>
    </row>
    <row r="15" spans="2:5" x14ac:dyDescent="0.2">
      <c r="B15" s="5">
        <v>1.4999999999999999E-2</v>
      </c>
      <c r="C15" s="11">
        <v>-63088.972222847318</v>
      </c>
      <c r="D15" s="11">
        <v>-1.0499999989406206E-2</v>
      </c>
      <c r="E15" s="9">
        <v>-2140.0877492401123</v>
      </c>
    </row>
    <row r="16" spans="2:5" x14ac:dyDescent="0.2">
      <c r="B16" s="5">
        <v>0.02</v>
      </c>
      <c r="C16" s="11">
        <v>-82891.50617395078</v>
      </c>
      <c r="D16" s="11">
        <v>-1.3999999981024303E-2</v>
      </c>
      <c r="E16" s="9">
        <v>-3804.5957764268533</v>
      </c>
    </row>
    <row r="17" spans="2:5" x14ac:dyDescent="0.2">
      <c r="B17" s="5">
        <v>2.5000000000000001E-2</v>
      </c>
      <c r="C17" s="11">
        <v>-102080.47839679811</v>
      </c>
      <c r="D17" s="11">
        <v>-1.7499999987194315E-2</v>
      </c>
      <c r="E17" s="9">
        <v>-5944.6765256669751</v>
      </c>
    </row>
    <row r="18" spans="2:5" x14ac:dyDescent="0.2">
      <c r="B18" s="5">
        <v>0.03</v>
      </c>
      <c r="C18" s="11">
        <v>-120655.88889138926</v>
      </c>
      <c r="D18" s="11">
        <v>-2.0999999978812411E-2</v>
      </c>
      <c r="E18" s="9">
        <v>-8560.3299969604413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Bond Valuation</vt:lpstr>
      <vt:lpstr>Duration Hedging Model</vt:lpstr>
      <vt:lpstr>Convexity Adj Hedging Model</vt:lpstr>
      <vt:lpstr>Duration vs Convexity Hedging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RutvikShrikar Trikannad</dc:creator>
  <cp:lastModifiedBy>RutvikShrikar Trikannad</cp:lastModifiedBy>
  <dcterms:created xsi:type="dcterms:W3CDTF">2026-03-17T20:38:07Z</dcterms:created>
  <dcterms:modified xsi:type="dcterms:W3CDTF">2026-03-23T23:39:36Z</dcterms:modified>
</cp:coreProperties>
</file>